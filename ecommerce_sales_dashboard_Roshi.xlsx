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780cce73f2e9b21a/"/>
    </mc:Choice>
  </mc:AlternateContent>
  <xr:revisionPtr revIDLastSave="0" documentId="8_{8CBBBDAC-8D32-4B82-9D00-A17BF58E1791}" xr6:coauthVersionLast="47" xr6:coauthVersionMax="47" xr10:uidLastSave="{00000000-0000-0000-0000-000000000000}"/>
  <bookViews>
    <workbookView xWindow="-108" yWindow="-108" windowWidth="23256" windowHeight="12456" activeTab="2" xr2:uid="{99092C4A-F293-4294-A600-5427890FC6DD}"/>
  </bookViews>
  <sheets>
    <sheet name="ecommerce_sales_1000_records" sheetId="1" r:id="rId1"/>
    <sheet name="Sheet1" sheetId="2" r:id="rId2"/>
    <sheet name="Dashboard" sheetId="4" r:id="rId3"/>
  </sheets>
  <definedNames>
    <definedName name="Slicer_Category">#N/A</definedName>
    <definedName name="Slicer_Cit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3" i="1"/>
  <c r="F4" i="1"/>
  <c r="F5" i="1"/>
  <c r="F2" i="1"/>
  <c r="M50" i="2"/>
  <c r="N50" i="2" l="1"/>
</calcChain>
</file>

<file path=xl/sharedStrings.xml><?xml version="1.0" encoding="utf-8"?>
<sst xmlns="http://schemas.openxmlformats.org/spreadsheetml/2006/main" count="4102" uniqueCount="1050">
  <si>
    <t>Order_ID</t>
  </si>
  <si>
    <t>Product</t>
  </si>
  <si>
    <t>Category</t>
  </si>
  <si>
    <t>Quantity</t>
  </si>
  <si>
    <t>Price</t>
  </si>
  <si>
    <t>City</t>
  </si>
  <si>
    <t>Date</t>
  </si>
  <si>
    <t>ORD1001</t>
  </si>
  <si>
    <t>Backpack</t>
  </si>
  <si>
    <t>Accessories</t>
  </si>
  <si>
    <t>Hyderabad</t>
  </si>
  <si>
    <t>ORD1002</t>
  </si>
  <si>
    <t>Keyboard</t>
  </si>
  <si>
    <t>Electronics</t>
  </si>
  <si>
    <t>Surat</t>
  </si>
  <si>
    <t>ORD1003</t>
  </si>
  <si>
    <t>Book</t>
  </si>
  <si>
    <t>Books</t>
  </si>
  <si>
    <t>Mumbai</t>
  </si>
  <si>
    <t>ORD1004</t>
  </si>
  <si>
    <t>ORD1005</t>
  </si>
  <si>
    <t>Tablet</t>
  </si>
  <si>
    <t>Jaipur</t>
  </si>
  <si>
    <t>ORD1006</t>
  </si>
  <si>
    <t>T-Shirt</t>
  </si>
  <si>
    <t>Fashion</t>
  </si>
  <si>
    <t>Delhi</t>
  </si>
  <si>
    <t>ORD1007</t>
  </si>
  <si>
    <t>Watch</t>
  </si>
  <si>
    <t>Bangalore</t>
  </si>
  <si>
    <t>ORD1008</t>
  </si>
  <si>
    <t>Smartphone</t>
  </si>
  <si>
    <t>Pune</t>
  </si>
  <si>
    <t>ORD1009</t>
  </si>
  <si>
    <t>ORD1010</t>
  </si>
  <si>
    <t>ORD1011</t>
  </si>
  <si>
    <t>ORD1012</t>
  </si>
  <si>
    <t>ORD1013</t>
  </si>
  <si>
    <t>Air Fryer</t>
  </si>
  <si>
    <t>Home Appliances</t>
  </si>
  <si>
    <t>ORD1014</t>
  </si>
  <si>
    <t>ORD1015</t>
  </si>
  <si>
    <t>ORD1016</t>
  </si>
  <si>
    <t>ORD1017</t>
  </si>
  <si>
    <t>Mixer</t>
  </si>
  <si>
    <t>ORD1018</t>
  </si>
  <si>
    <t>Ahmedabad</t>
  </si>
  <si>
    <t>ORD1019</t>
  </si>
  <si>
    <t>Chennai</t>
  </si>
  <si>
    <t>ORD1020</t>
  </si>
  <si>
    <t>Kolkata</t>
  </si>
  <si>
    <t>ORD1021</t>
  </si>
  <si>
    <t>ORD1022</t>
  </si>
  <si>
    <t>ORD1023</t>
  </si>
  <si>
    <t>ORD1024</t>
  </si>
  <si>
    <t>Shoes</t>
  </si>
  <si>
    <t>ORD1025</t>
  </si>
  <si>
    <t>ORD1026</t>
  </si>
  <si>
    <t>ORD1027</t>
  </si>
  <si>
    <t>ORD1028</t>
  </si>
  <si>
    <t>ORD1029</t>
  </si>
  <si>
    <t>ORD1030</t>
  </si>
  <si>
    <t>Jeans</t>
  </si>
  <si>
    <t>ORD1031</t>
  </si>
  <si>
    <t>ORD1032</t>
  </si>
  <si>
    <t>ORD1033</t>
  </si>
  <si>
    <t>ORD1034</t>
  </si>
  <si>
    <t>ORD1035</t>
  </si>
  <si>
    <t>ORD1036</t>
  </si>
  <si>
    <t>ORD1037</t>
  </si>
  <si>
    <t>ORD1038</t>
  </si>
  <si>
    <t>ORD1039</t>
  </si>
  <si>
    <t>Headphones</t>
  </si>
  <si>
    <t>ORD1040</t>
  </si>
  <si>
    <t>ORD1041</t>
  </si>
  <si>
    <t>ORD1042</t>
  </si>
  <si>
    <t>ORD1043</t>
  </si>
  <si>
    <t>ORD1044</t>
  </si>
  <si>
    <t>ORD1045</t>
  </si>
  <si>
    <t>ORD1046</t>
  </si>
  <si>
    <t>Coffee Maker</t>
  </si>
  <si>
    <t>ORD1047</t>
  </si>
  <si>
    <t>ORD1048</t>
  </si>
  <si>
    <t>ORD1049</t>
  </si>
  <si>
    <t>ORD1050</t>
  </si>
  <si>
    <t>ORD1051</t>
  </si>
  <si>
    <t>ORD1052</t>
  </si>
  <si>
    <t>ORD1053</t>
  </si>
  <si>
    <t>ORD1054</t>
  </si>
  <si>
    <t>ORD1055</t>
  </si>
  <si>
    <t>ORD1056</t>
  </si>
  <si>
    <t>Laptop</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</si>
  <si>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</si>
  <si>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</si>
  <si>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</si>
  <si>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</si>
  <si>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</si>
  <si>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</si>
  <si>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</si>
  <si>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</si>
  <si>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</si>
  <si>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</si>
  <si>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</si>
  <si>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</si>
  <si>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</si>
  <si>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</si>
  <si>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</si>
  <si>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</si>
  <si>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</si>
  <si>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</si>
  <si>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</si>
  <si>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</si>
  <si>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</si>
  <si>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</si>
  <si>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</si>
  <si>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</si>
  <si>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</si>
  <si>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</si>
  <si>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</si>
  <si>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</si>
  <si>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</si>
  <si>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</si>
  <si>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</si>
  <si>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</si>
  <si>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</si>
  <si>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</si>
  <si>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</si>
  <si>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</si>
  <si>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</si>
  <si>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</si>
  <si>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</si>
  <si>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</si>
  <si>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</si>
  <si>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</si>
  <si>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</si>
  <si>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</si>
  <si>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</si>
  <si>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</si>
  <si>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</si>
  <si>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</si>
  <si>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</si>
  <si>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</si>
  <si>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</si>
  <si>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</si>
  <si>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</si>
  <si>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</si>
  <si>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</si>
  <si>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</si>
  <si>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</si>
  <si>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</si>
  <si>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</si>
  <si>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</si>
  <si>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</si>
  <si>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</si>
  <si>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</si>
  <si>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</si>
  <si>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</si>
  <si>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</si>
  <si>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</si>
  <si>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</si>
  <si>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</si>
  <si>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</si>
  <si>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</si>
  <si>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</si>
  <si>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</si>
  <si>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</si>
  <si>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</si>
  <si>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</si>
  <si>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</si>
  <si>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</si>
  <si>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</si>
  <si>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</si>
  <si>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</si>
  <si>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</si>
  <si>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</si>
  <si>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</si>
  <si>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</si>
  <si>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</si>
  <si>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</si>
  <si>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</si>
  <si>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</si>
  <si>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</si>
  <si>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</si>
  <si>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</si>
  <si>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</si>
  <si>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</si>
  <si>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</si>
  <si>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</si>
  <si>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</si>
  <si>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</si>
  <si>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</si>
  <si>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</si>
  <si>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</si>
  <si>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</si>
  <si>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</si>
  <si>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</si>
  <si>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</si>
  <si>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</si>
  <si>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</si>
  <si>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</si>
  <si>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</si>
  <si>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</si>
  <si>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</si>
  <si>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</si>
  <si>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</si>
  <si>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</si>
  <si>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</si>
  <si>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</si>
  <si>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</si>
  <si>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</si>
  <si>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</si>
  <si>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</si>
  <si>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</si>
  <si>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</si>
  <si>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</si>
  <si>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</si>
  <si>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</si>
  <si>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</si>
  <si>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</si>
  <si>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</si>
  <si>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</si>
  <si>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</si>
  <si>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</si>
  <si>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</si>
  <si>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</si>
  <si>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</si>
  <si>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</si>
  <si>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</si>
  <si>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</si>
  <si>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</si>
  <si>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</si>
  <si>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</si>
  <si>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</si>
  <si>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</si>
  <si>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</si>
  <si>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</si>
  <si>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</si>
  <si>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</si>
  <si>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</si>
  <si>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</si>
  <si>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</si>
  <si>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</si>
  <si>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</si>
  <si>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</si>
  <si>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</si>
  <si>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</si>
  <si>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</si>
  <si>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</si>
  <si>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</si>
  <si>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</si>
  <si>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</si>
  <si>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</si>
  <si>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</si>
  <si>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</si>
  <si>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</si>
  <si>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</si>
  <si>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</si>
  <si>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</si>
  <si>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</si>
  <si>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</si>
  <si>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</si>
  <si>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</si>
  <si>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</si>
  <si>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</si>
  <si>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</si>
  <si>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</si>
  <si>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</si>
  <si>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</si>
  <si>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</si>
  <si>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</si>
  <si>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</si>
  <si>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</si>
  <si>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</si>
  <si>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</si>
  <si>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</si>
  <si>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</si>
  <si>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</si>
  <si>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</si>
  <si>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</si>
  <si>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</si>
  <si>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</si>
  <si>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</si>
  <si>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</si>
  <si>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</si>
  <si>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</si>
  <si>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</si>
  <si>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</si>
  <si>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</si>
  <si>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</si>
  <si>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</si>
  <si>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</si>
  <si>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</si>
  <si>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</si>
  <si>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</si>
  <si>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</si>
  <si>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</si>
  <si>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</si>
  <si>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</si>
  <si>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</si>
  <si>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</si>
  <si>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</si>
  <si>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</si>
  <si>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</si>
  <si>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</si>
  <si>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</si>
  <si>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</si>
  <si>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</si>
  <si>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</si>
  <si>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</si>
  <si>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</si>
  <si>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</si>
  <si>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</si>
  <si>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</si>
  <si>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</si>
  <si>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</si>
  <si>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</si>
  <si>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</si>
  <si>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</si>
  <si>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</si>
  <si>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</si>
  <si>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</si>
  <si>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</si>
  <si>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</si>
  <si>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</si>
  <si>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</si>
  <si>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</si>
  <si>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</si>
  <si>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</si>
  <si>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</si>
  <si>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</si>
  <si>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</si>
  <si>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</si>
  <si>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</si>
  <si>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</si>
  <si>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</si>
  <si>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</si>
  <si>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</si>
  <si>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</si>
  <si>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</si>
  <si>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</si>
  <si>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</si>
  <si>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</si>
  <si>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</si>
  <si>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</si>
  <si>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</si>
  <si>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</si>
  <si>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</si>
  <si>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</si>
  <si>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</si>
  <si>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</si>
  <si>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</si>
  <si>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</si>
  <si>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</si>
  <si>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</si>
  <si>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</si>
  <si>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</si>
  <si>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</si>
  <si>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</si>
  <si>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</si>
  <si>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</si>
  <si>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</si>
  <si>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</si>
  <si>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</si>
  <si>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</si>
  <si>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</si>
  <si>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</si>
  <si>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</si>
  <si>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</si>
  <si>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</si>
  <si>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</si>
  <si>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</si>
  <si>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</si>
  <si>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</si>
  <si>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</si>
  <si>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</si>
  <si>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</si>
  <si>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</si>
  <si>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</si>
  <si>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</si>
  <si>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</si>
  <si>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</si>
  <si>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</si>
  <si>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</si>
  <si>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</si>
  <si>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</si>
  <si>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</si>
  <si>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</si>
  <si>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</si>
  <si>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</si>
  <si>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</si>
  <si>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</si>
  <si>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</si>
  <si>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</si>
  <si>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</si>
  <si>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</si>
  <si>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</si>
  <si>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</si>
  <si>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</si>
  <si>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</si>
  <si>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</si>
  <si>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</si>
  <si>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</si>
  <si>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</si>
  <si>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</si>
  <si>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</si>
  <si>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</si>
  <si>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</si>
  <si>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</si>
  <si>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</si>
  <si>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</si>
  <si>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</si>
  <si>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</si>
  <si>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</si>
  <si>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</si>
  <si>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</si>
  <si>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</si>
  <si>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</si>
  <si>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</si>
  <si>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</si>
  <si>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</si>
  <si>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</si>
  <si>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</si>
  <si>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</si>
  <si>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</si>
  <si>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</si>
  <si>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</si>
  <si>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</si>
  <si>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</si>
  <si>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</si>
  <si>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</si>
  <si>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</si>
  <si>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</si>
  <si>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</si>
  <si>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</si>
  <si>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</si>
  <si>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</si>
  <si>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</si>
  <si>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</si>
  <si>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</si>
  <si>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</si>
  <si>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</si>
  <si>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</si>
  <si>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</si>
  <si>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</si>
  <si>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</si>
  <si>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</si>
  <si>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</si>
  <si>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</si>
  <si>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</si>
  <si>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</si>
  <si>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</si>
  <si>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</si>
  <si>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</si>
  <si>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</si>
  <si>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</si>
  <si>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</si>
  <si>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</si>
  <si>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</si>
  <si>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</si>
  <si>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</si>
  <si>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</si>
  <si>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</si>
  <si>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</si>
  <si>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</si>
  <si>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</si>
  <si>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</si>
  <si>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</si>
  <si>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</si>
  <si>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</si>
  <si>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</si>
  <si>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</si>
  <si>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</si>
  <si>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</si>
  <si>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</si>
  <si>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</si>
  <si>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</si>
  <si>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</si>
  <si>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</si>
  <si>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</si>
  <si>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</si>
  <si>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</si>
  <si>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</si>
  <si>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</si>
  <si>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</si>
  <si>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</si>
  <si>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</si>
  <si>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</si>
  <si>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</si>
  <si>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</si>
  <si>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</si>
  <si>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</si>
  <si>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</si>
  <si>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</si>
  <si>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</si>
  <si>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</si>
  <si>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</si>
  <si>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</si>
  <si>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</si>
  <si>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</si>
  <si>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</si>
  <si>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</si>
  <si>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</si>
  <si>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</si>
  <si>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</si>
  <si>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</si>
  <si>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</si>
  <si>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</si>
  <si>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</si>
  <si>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</si>
  <si>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</si>
  <si>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</si>
  <si>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</si>
  <si>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</si>
  <si>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</si>
  <si>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</si>
  <si>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</si>
  <si>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</si>
  <si>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</si>
  <si>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</si>
  <si>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</si>
  <si>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</si>
  <si>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</si>
  <si>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</si>
  <si>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</si>
  <si>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</si>
  <si>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</si>
  <si>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</si>
  <si>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</si>
  <si>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</si>
  <si>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</si>
  <si>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</si>
  <si>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</si>
  <si>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</si>
  <si>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</si>
  <si>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</si>
  <si>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</si>
  <si>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</si>
  <si>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</si>
  <si>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</si>
  <si>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</si>
  <si>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</si>
  <si>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</si>
  <si>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</si>
  <si>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</si>
  <si>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</si>
  <si>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</si>
  <si>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</si>
  <si>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</si>
  <si>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</si>
  <si>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</si>
  <si>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</si>
  <si>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</si>
  <si>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</si>
  <si>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</si>
  <si>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</si>
  <si>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</si>
  <si>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</si>
  <si>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</si>
  <si>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</si>
  <si>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</si>
  <si>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</si>
  <si>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</si>
  <si>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</si>
  <si>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</si>
  <si>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</si>
  <si>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</si>
  <si>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</si>
  <si>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</si>
  <si>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</si>
  <si>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</si>
  <si>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</si>
  <si>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</si>
  <si>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</si>
  <si>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</si>
  <si>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</si>
  <si>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</si>
  <si>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</si>
  <si>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</si>
  <si>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</si>
  <si>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</si>
  <si>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</si>
  <si>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</si>
  <si>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</si>
  <si>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</si>
  <si>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</si>
  <si>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</si>
  <si>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</si>
  <si>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</si>
  <si>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</si>
  <si>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</si>
  <si>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</si>
  <si>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</si>
  <si>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</si>
  <si>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</si>
  <si>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</si>
  <si>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</si>
  <si>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</si>
  <si>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</si>
  <si>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</si>
  <si>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</si>
  <si>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</si>
  <si>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</si>
  <si>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</si>
  <si>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</si>
  <si>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</si>
  <si>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</si>
  <si>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</si>
  <si>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</si>
  <si>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</si>
  <si>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</si>
  <si>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</si>
  <si>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</si>
  <si>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</si>
  <si>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</si>
  <si>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</si>
  <si>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</si>
  <si>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</si>
  <si>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</si>
  <si>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</si>
  <si>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</si>
  <si>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</si>
  <si>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</si>
  <si>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</si>
  <si>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</si>
  <si>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</si>
  <si>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</si>
  <si>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</si>
  <si>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</si>
  <si>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</si>
  <si>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</si>
  <si>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</si>
  <si>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</si>
  <si>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</si>
  <si>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</si>
  <si>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</si>
  <si>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</si>
  <si>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</si>
  <si>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</si>
  <si>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</si>
  <si>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</si>
  <si>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</si>
  <si>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</si>
  <si>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</si>
  <si>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</si>
  <si>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</si>
  <si>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</si>
  <si>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</si>
  <si>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</si>
  <si>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</si>
  <si>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</si>
  <si>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</si>
  <si>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</si>
  <si>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</si>
  <si>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</si>
  <si>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</si>
  <si>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</si>
  <si>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</si>
  <si>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</si>
  <si>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</si>
  <si>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</si>
  <si>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</si>
  <si>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</si>
  <si>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</si>
  <si>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</si>
  <si>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</si>
  <si>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</si>
  <si>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</si>
  <si>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</si>
  <si>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</si>
  <si>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</si>
  <si>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</si>
  <si>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</si>
  <si>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</si>
  <si>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</si>
  <si>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</si>
  <si>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</si>
  <si>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</si>
  <si>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</si>
  <si>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</si>
  <si>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</si>
  <si>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</si>
  <si>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</si>
  <si>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</si>
  <si>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</si>
  <si>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</si>
  <si>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</si>
  <si>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</si>
  <si>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</si>
  <si>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</si>
  <si>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</si>
  <si>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</si>
  <si>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</si>
  <si>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</si>
  <si>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</si>
  <si>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</si>
  <si>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</si>
  <si>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</si>
  <si>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</si>
  <si>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</si>
  <si>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</si>
  <si>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</si>
  <si>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</si>
  <si>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</si>
  <si>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</si>
  <si>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</si>
  <si>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</si>
  <si>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</si>
  <si>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</si>
  <si>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</si>
  <si>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</si>
  <si>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</si>
  <si>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</si>
  <si>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</si>
  <si>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</si>
  <si>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</si>
  <si>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</si>
  <si>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</si>
  <si>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</si>
  <si>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</si>
  <si>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</si>
  <si>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</si>
  <si>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</si>
  <si>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</si>
  <si>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</si>
  <si>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</si>
  <si>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</si>
  <si>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</si>
  <si>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</si>
  <si>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</si>
  <si>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</si>
  <si>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</si>
  <si>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</si>
  <si>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</si>
  <si>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</si>
  <si>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</si>
  <si>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</si>
  <si>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</si>
  <si>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</si>
  <si>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</si>
  <si>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</si>
  <si>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</si>
  <si>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</si>
  <si>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</si>
  <si>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</si>
  <si>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</si>
  <si>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</si>
  <si>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</si>
  <si>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</si>
  <si>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</si>
  <si>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</si>
  <si>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</si>
  <si>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</si>
  <si>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</si>
  <si>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</si>
  <si>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</si>
  <si>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</si>
  <si>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</si>
  <si>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</si>
  <si>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</si>
  <si>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</si>
  <si>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</si>
  <si>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</si>
  <si>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</si>
  <si>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</si>
  <si>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</si>
  <si>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</si>
  <si>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</si>
  <si>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</si>
  <si>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</si>
  <si>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</si>
  <si>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</si>
  <si>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</si>
  <si>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</si>
  <si>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</si>
  <si>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</si>
  <si>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</si>
  <si>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</si>
  <si>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</si>
  <si>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</si>
  <si>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</si>
  <si>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</si>
  <si>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</si>
  <si>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</si>
  <si>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</si>
  <si>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</si>
  <si>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</si>
  <si>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</si>
  <si>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</si>
  <si>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</si>
  <si>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</si>
  <si>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</si>
  <si>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</si>
  <si>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</si>
  <si>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</si>
  <si>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</si>
  <si>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</si>
  <si>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</si>
  <si>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</si>
  <si>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</si>
  <si>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</si>
  <si>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</si>
  <si>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</si>
  <si>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</si>
  <si>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</si>
  <si>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</si>
  <si>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</si>
  <si>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</si>
  <si>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</si>
  <si>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</si>
  <si>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</si>
  <si>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</si>
  <si>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</si>
  <si>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</si>
  <si>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</si>
  <si>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</si>
  <si>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</si>
  <si>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</si>
  <si>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</si>
  <si>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</si>
  <si>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</si>
  <si>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</si>
  <si>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</si>
  <si>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</si>
  <si>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</si>
  <si>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</si>
  <si>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</si>
  <si>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</si>
  <si>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</si>
  <si>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</si>
  <si>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</si>
  <si>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</si>
  <si>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</si>
  <si>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</si>
  <si>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</si>
  <si>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</si>
  <si>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</si>
  <si>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</si>
  <si>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</si>
  <si>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</si>
  <si>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</si>
  <si>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</si>
  <si>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</si>
  <si>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</si>
  <si>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</si>
  <si>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</si>
  <si>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</si>
  <si>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</si>
  <si>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</si>
  <si>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</si>
  <si>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</si>
  <si>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</si>
  <si>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</si>
  <si>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</si>
  <si>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</si>
  <si>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</si>
  <si>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</si>
  <si>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</si>
  <si>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</si>
  <si>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</si>
  <si>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</si>
  <si>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</si>
  <si>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</si>
  <si>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</si>
  <si>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</si>
  <si>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</si>
  <si>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</si>
  <si>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</si>
  <si>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</si>
  <si>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</si>
  <si>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</si>
  <si>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</si>
  <si>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</si>
  <si>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</si>
  <si>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</si>
  <si>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</si>
  <si>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</si>
  <si>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</si>
  <si>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</si>
  <si>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</si>
  <si>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</si>
  <si>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</si>
  <si>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</si>
  <si>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</si>
  <si>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</si>
  <si>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</si>
  <si>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</si>
  <si>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</si>
  <si>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</si>
  <si>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</si>
  <si>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</si>
  <si>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</si>
  <si>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</si>
  <si>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</si>
  <si>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</si>
  <si>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</si>
  <si>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</si>
  <si>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</si>
  <si>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</si>
  <si>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</si>
  <si>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</si>
  <si>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</si>
  <si>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</si>
  <si>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</si>
  <si>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</si>
  <si>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</si>
  <si>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</si>
  <si>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</si>
  <si>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</si>
  <si>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</si>
  <si>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</si>
  <si>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</si>
  <si>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</si>
  <si>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</si>
  <si>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</si>
  <si>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</si>
  <si>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</si>
  <si>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</si>
  <si>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</si>
  <si>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</si>
  <si>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</si>
  <si>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</si>
  <si>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</si>
  <si>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</si>
  <si>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</si>
  <si>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</si>
  <si>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</si>
  <si>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</si>
  <si>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</si>
  <si>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</si>
  <si>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</si>
  <si>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</si>
  <si>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</si>
  <si>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</si>
  <si>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</si>
  <si>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</si>
  <si>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</si>
  <si>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</si>
  <si>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</si>
  <si>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</si>
  <si>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</si>
  <si>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</si>
  <si>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</si>
  <si>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</si>
  <si>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</si>
  <si>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</si>
  <si>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</si>
  <si>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</si>
  <si>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</si>
  <si>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</si>
  <si>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</si>
  <si>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</si>
  <si>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</si>
  <si>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</si>
  <si>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</si>
  <si>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</si>
  <si>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</si>
  <si>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</si>
  <si>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</si>
  <si>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</si>
  <si>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</si>
  <si>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</si>
  <si>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</si>
  <si>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</si>
  <si>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</si>
  <si>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</si>
  <si>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</si>
  <si>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</si>
  <si>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</si>
  <si>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</si>
  <si>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</si>
  <si>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</si>
  <si>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</si>
  <si>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</si>
  <si>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</si>
  <si>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</si>
  <si>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</si>
  <si>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</si>
  <si>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</si>
  <si>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</si>
  <si>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</si>
  <si>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</si>
  <si>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</si>
  <si>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</si>
  <si>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</si>
  <si>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</si>
  <si>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</si>
  <si>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</si>
  <si>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</si>
  <si>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</si>
  <si>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</si>
  <si>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</si>
  <si>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</si>
  <si>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</si>
  <si>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</si>
  <si>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</si>
  <si>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</si>
  <si>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</si>
  <si>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</si>
  <si>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</si>
  <si>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</si>
  <si>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</si>
  <si>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</si>
  <si>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</si>
  <si>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</si>
  <si>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</si>
  <si>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</si>
  <si>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</si>
  <si>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</si>
  <si>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</si>
  <si>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</si>
  <si>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</si>
  <si>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</si>
  <si>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</si>
  <si>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</si>
  <si>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</si>
  <si>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</si>
  <si>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</si>
  <si>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</si>
  <si>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</si>
  <si>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</si>
  <si>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</si>
  <si>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</si>
  <si>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</si>
  <si>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</si>
  <si>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</si>
  <si>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</si>
  <si>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</si>
  <si>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</si>
  <si>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</si>
  <si>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</si>
  <si>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</si>
  <si>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</si>
  <si>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</si>
  <si>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</si>
  <si>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</si>
  <si>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</si>
  <si>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Revenue</t>
  </si>
  <si>
    <t>Month</t>
  </si>
  <si>
    <t>Row Labels</t>
  </si>
  <si>
    <t>Sum of Revenue</t>
  </si>
  <si>
    <t>Jan</t>
  </si>
  <si>
    <t>Feb</t>
  </si>
  <si>
    <t>Mar</t>
  </si>
  <si>
    <t>Apr</t>
  </si>
  <si>
    <t>May</t>
  </si>
  <si>
    <t>Jun</t>
  </si>
  <si>
    <t>Sum of Quantity</t>
  </si>
  <si>
    <t>Count of Order_ID</t>
  </si>
  <si>
    <t>Count of Category</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</si>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</sst>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09]\ #,##0.00"/>
    <numFmt numFmtId="165"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D254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164" fontId="0" fillId="0" borderId="0" xfId="0" applyNumberFormat="1"/>
    <xf numFmtId="0" fontId="0" fillId="0" borderId="0" xfId="0"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33" borderId="0" xfId="0" applyFill="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alignment horizontal="left" vertical="bottom" textRotation="0" wrapText="0" indent="0" justifyLastLine="0" shrinkToFit="0" readingOrder="0"/>
    </dxf>
    <dxf>
      <numFmt numFmtId="165" formatCode="yyyy\-mm\-dd;@"/>
      <alignment horizontal="left" vertical="bottom" textRotation="0" wrapText="0" indent="0" justifyLastLine="0" shrinkToFit="0" readingOrder="0"/>
    </dxf>
    <dxf>
      <alignment horizontal="left" vertical="bottom" textRotation="0" wrapText="0" indent="0" justifyLastLine="0" shrinkToFit="0" readingOrder="0"/>
    </dxf>
    <dxf>
      <numFmt numFmtId="164" formatCode="[$₹-4009]\ #,##0.00"/>
      <alignment horizontal="left" vertical="bottom" textRotation="0" wrapText="0" indent="0" justifyLastLine="0" shrinkToFit="0" readingOrder="0"/>
    </dxf>
    <dxf>
      <numFmt numFmtId="164" formatCode="[$₹-4009]\ #,##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z val="10"/>
        <color theme="0"/>
        <name val="Calibri"/>
        <family val="2"/>
        <scheme val="minor"/>
      </font>
      <fill>
        <patternFill>
          <fgColor rgb="FF0A1837"/>
          <bgColor theme="4" tint="-0.499984740745262"/>
        </patternFill>
      </fill>
      <border>
        <bottom style="thin">
          <color theme="4"/>
        </bottom>
        <vertical/>
        <horizontal/>
      </border>
    </dxf>
    <dxf>
      <font>
        <color theme="1"/>
      </font>
      <fill>
        <patternFill>
          <bgColor rgb="FF000066"/>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BLUE" pivot="0" table="0" count="10" xr9:uid="{34E3BB5D-E93F-4F5E-843C-850B72CE4F33}">
      <tableStyleElement type="wholeTable" dxfId="12"/>
      <tableStyleElement type="headerRow" dxfId="11"/>
    </tableStyle>
  </tableStyles>
  <colors>
    <mruColors>
      <color rgb="FF0A1837"/>
      <color rgb="FF000066"/>
      <color rgb="FF0D2548"/>
      <color rgb="FF08142D"/>
      <color rgb="FF0078D7"/>
      <color rgb="FF003399"/>
      <color rgb="FF061A33"/>
      <color rgb="FF3A8DFF"/>
      <color rgb="FF000099"/>
      <color rgb="FF5725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600" b="1"/>
              <a:t>Revenue</a:t>
            </a:r>
            <a:r>
              <a:rPr lang="en-SG" sz="1600" b="1" baseline="0"/>
              <a:t> by category</a:t>
            </a:r>
            <a:endParaRPr lang="en-SG" sz="1600" b="1"/>
          </a:p>
        </c:rich>
      </c:tx>
      <c:layout>
        <c:manualLayout>
          <c:xMode val="edge"/>
          <c:yMode val="edge"/>
          <c:x val="0.33197316644760905"/>
          <c:y val="4.975103705704333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242270938729624E-2"/>
              <c:y val="4.8449612403100775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7667804024496939"/>
          <c:y val="0.2061574074074074"/>
          <c:w val="0.78721084864391955"/>
          <c:h val="0.65873468941382329"/>
        </c:manualLayout>
      </c:layout>
      <c:pie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F3D-40D6-BDBA-AB0A59988435}"/>
              </c:ext>
            </c:extLst>
          </c:dPt>
          <c:dPt>
            <c:idx val="1"/>
            <c:bubble3D val="0"/>
            <c:spPr>
              <a:solidFill>
                <a:schemeClr val="accent2"/>
              </a:solidFill>
              <a:ln>
                <a:noFill/>
              </a:ln>
              <a:effectLst/>
            </c:spPr>
            <c:extLst>
              <c:ext xmlns:c16="http://schemas.microsoft.com/office/drawing/2014/chart" uri="{C3380CC4-5D6E-409C-BE32-E72D297353CC}">
                <c16:uniqueId val="{00000000-37E6-438D-A79F-9591800026A1}"/>
              </c:ext>
            </c:extLst>
          </c:dPt>
          <c:dPt>
            <c:idx val="2"/>
            <c:bubble3D val="0"/>
            <c:spPr>
              <a:solidFill>
                <a:schemeClr val="accent3"/>
              </a:solidFill>
              <a:ln>
                <a:noFill/>
              </a:ln>
              <a:effectLst/>
            </c:spPr>
            <c:extLst>
              <c:ext xmlns:c16="http://schemas.microsoft.com/office/drawing/2014/chart" uri="{C3380CC4-5D6E-409C-BE32-E72D297353CC}">
                <c16:uniqueId val="{00000005-BF3D-40D6-BDBA-AB0A59988435}"/>
              </c:ext>
            </c:extLst>
          </c:dPt>
          <c:dPt>
            <c:idx val="3"/>
            <c:bubble3D val="0"/>
            <c:spPr>
              <a:solidFill>
                <a:schemeClr val="accent4"/>
              </a:solidFill>
              <a:ln>
                <a:noFill/>
              </a:ln>
              <a:effectLst/>
            </c:spPr>
            <c:extLst>
              <c:ext xmlns:c16="http://schemas.microsoft.com/office/drawing/2014/chart" uri="{C3380CC4-5D6E-409C-BE32-E72D297353CC}">
                <c16:uniqueId val="{00000007-BF3D-40D6-BDBA-AB0A59988435}"/>
              </c:ext>
            </c:extLst>
          </c:dPt>
          <c:dPt>
            <c:idx val="4"/>
            <c:bubble3D val="0"/>
            <c:spPr>
              <a:solidFill>
                <a:schemeClr val="accent5"/>
              </a:solidFill>
              <a:ln>
                <a:noFill/>
              </a:ln>
              <a:effectLst/>
            </c:spPr>
            <c:extLst>
              <c:ext xmlns:c16="http://schemas.microsoft.com/office/drawing/2014/chart" uri="{C3380CC4-5D6E-409C-BE32-E72D297353CC}">
                <c16:uniqueId val="{00000001-37E6-438D-A79F-9591800026A1}"/>
              </c:ext>
            </c:extLst>
          </c:dPt>
          <c:dLbls>
            <c:dLbl>
              <c:idx val="4"/>
              <c:layout>
                <c:manualLayout>
                  <c:x val="1.1242270938729624E-2"/>
                  <c:y val="4.8449612403100775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E6-438D-A79F-9591800026A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5"/>
                <c:pt idx="0">
                  <c:v>Electronics</c:v>
                </c:pt>
                <c:pt idx="1">
                  <c:v>Home Appliances</c:v>
                </c:pt>
                <c:pt idx="2">
                  <c:v>Accessories</c:v>
                </c:pt>
                <c:pt idx="3">
                  <c:v>Fashion</c:v>
                </c:pt>
                <c:pt idx="4">
                  <c:v>Books</c:v>
                </c:pt>
              </c:strCache>
            </c:strRef>
          </c:cat>
          <c:val>
            <c:numRef>
              <c:f>Sheet1!$B$4:$B$8</c:f>
              <c:numCache>
                <c:formatCode>[$₹-4009]\ #,##0.00</c:formatCode>
                <c:ptCount val="5"/>
                <c:pt idx="0">
                  <c:v>21606517.720000014</c:v>
                </c:pt>
                <c:pt idx="1">
                  <c:v>3141481.7200000025</c:v>
                </c:pt>
                <c:pt idx="2">
                  <c:v>1630446.5000000002</c:v>
                </c:pt>
                <c:pt idx="3">
                  <c:v>1152368.3800000001</c:v>
                </c:pt>
                <c:pt idx="4">
                  <c:v>89836.77</c:v>
                </c:pt>
              </c:numCache>
            </c:numRef>
          </c:val>
          <c:extLst>
            <c:ext xmlns:c16="http://schemas.microsoft.com/office/drawing/2014/chart" uri="{C3380CC4-5D6E-409C-BE32-E72D297353CC}">
              <c16:uniqueId val="{00000000-591A-4986-AEB8-A93D45D78E0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bg1"/>
            </a:solidFill>
            <a:round/>
          </a:ln>
          <a:effectLst/>
        </c:spPr>
        <c:marker>
          <c:symbol val="circle"/>
          <c:size val="6"/>
          <c:spPr>
            <a:solidFill>
              <a:schemeClr val="bg1">
                <a:lumMod val="95000"/>
              </a:schemeClr>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0492865168286"/>
          <c:y val="0.18300920216298264"/>
          <c:w val="0.82738892907017481"/>
          <c:h val="0.71258306567100804"/>
        </c:manualLayout>
      </c:layout>
      <c:lineChart>
        <c:grouping val="standard"/>
        <c:varyColors val="0"/>
        <c:ser>
          <c:idx val="0"/>
          <c:order val="0"/>
          <c:tx>
            <c:strRef>
              <c:f>Sheet1!$B$18</c:f>
              <c:strCache>
                <c:ptCount val="1"/>
                <c:pt idx="0">
                  <c:v>Total</c:v>
                </c:pt>
              </c:strCache>
            </c:strRef>
          </c:tx>
          <c:spPr>
            <a:ln w="31750" cap="rnd">
              <a:solidFill>
                <a:schemeClr val="bg1"/>
              </a:solidFill>
              <a:round/>
            </a:ln>
            <a:effectLst/>
          </c:spPr>
          <c:marker>
            <c:symbol val="circle"/>
            <c:size val="6"/>
            <c:spPr>
              <a:solidFill>
                <a:schemeClr val="bg1">
                  <a:lumMod val="95000"/>
                </a:schemeClr>
              </a:solidFill>
              <a:ln w="9525">
                <a:solidFill>
                  <a:srgbClr val="00006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Sheet1!$A$19:$A$24</c:f>
              <c:strCache>
                <c:ptCount val="6"/>
                <c:pt idx="0">
                  <c:v>Jan</c:v>
                </c:pt>
                <c:pt idx="1">
                  <c:v>Feb</c:v>
                </c:pt>
                <c:pt idx="2">
                  <c:v>Mar</c:v>
                </c:pt>
                <c:pt idx="3">
                  <c:v>Apr</c:v>
                </c:pt>
                <c:pt idx="4">
                  <c:v>May</c:v>
                </c:pt>
                <c:pt idx="5">
                  <c:v>Jun</c:v>
                </c:pt>
              </c:strCache>
            </c:strRef>
          </c:cat>
          <c:val>
            <c:numRef>
              <c:f>Sheet1!$B$19:$B$24</c:f>
              <c:numCache>
                <c:formatCode>[$₹-4009]\ #,##0.00</c:formatCode>
                <c:ptCount val="6"/>
                <c:pt idx="0">
                  <c:v>5205216.1399999987</c:v>
                </c:pt>
                <c:pt idx="1">
                  <c:v>4418598.6399999997</c:v>
                </c:pt>
                <c:pt idx="2">
                  <c:v>4668486.2499999981</c:v>
                </c:pt>
                <c:pt idx="3">
                  <c:v>4655427.1899999976</c:v>
                </c:pt>
                <c:pt idx="4">
                  <c:v>4860089.3500000006</c:v>
                </c:pt>
                <c:pt idx="5">
                  <c:v>3812833.5200000014</c:v>
                </c:pt>
              </c:numCache>
            </c:numRef>
          </c:val>
          <c:smooth val="0"/>
          <c:extLst>
            <c:ext xmlns:c16="http://schemas.microsoft.com/office/drawing/2014/chart" uri="{C3380CC4-5D6E-409C-BE32-E72D297353CC}">
              <c16:uniqueId val="{00000000-2E5B-4FDD-9E9B-748295945952}"/>
            </c:ext>
          </c:extLst>
        </c:ser>
        <c:dLbls>
          <c:dLblPos val="t"/>
          <c:showLegendKey val="0"/>
          <c:showVal val="1"/>
          <c:showCatName val="0"/>
          <c:showSerName val="0"/>
          <c:showPercent val="0"/>
          <c:showBubbleSize val="0"/>
        </c:dLbls>
        <c:marker val="1"/>
        <c:smooth val="0"/>
        <c:axId val="381580175"/>
        <c:axId val="381580655"/>
      </c:lineChart>
      <c:catAx>
        <c:axId val="38158017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1580655"/>
        <c:crosses val="autoZero"/>
        <c:auto val="1"/>
        <c:lblAlgn val="ctr"/>
        <c:lblOffset val="100"/>
        <c:noMultiLvlLbl val="0"/>
      </c:catAx>
      <c:valAx>
        <c:axId val="381580655"/>
        <c:scaling>
          <c:orientation val="minMax"/>
        </c:scaling>
        <c:delete val="0"/>
        <c:axPos val="l"/>
        <c:numFmt formatCode="[$₹-4009]\ #,##0.00"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81580175"/>
        <c:crosses val="autoZero"/>
        <c:crossBetween val="between"/>
        <c:dispUnits>
          <c:builtInUnit val="millions"/>
          <c:dispUnitsLbl>
            <c:layout>
              <c:manualLayout>
                <c:xMode val="edge"/>
                <c:yMode val="edge"/>
                <c:x val="1.9444444444444445E-2"/>
                <c:y val="0.4031944444444444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Sheet1!$A$31:$A$40</c:f>
              <c:strCache>
                <c:ptCount val="10"/>
                <c:pt idx="0">
                  <c:v>Pune</c:v>
                </c:pt>
                <c:pt idx="1">
                  <c:v>Mumbai</c:v>
                </c:pt>
                <c:pt idx="2">
                  <c:v>Jaipur</c:v>
                </c:pt>
                <c:pt idx="3">
                  <c:v>Bangalore</c:v>
                </c:pt>
                <c:pt idx="4">
                  <c:v>Kolkata</c:v>
                </c:pt>
                <c:pt idx="5">
                  <c:v>Surat</c:v>
                </c:pt>
                <c:pt idx="6">
                  <c:v>Delhi</c:v>
                </c:pt>
                <c:pt idx="7">
                  <c:v>Chennai</c:v>
                </c:pt>
                <c:pt idx="8">
                  <c:v>Ahmedabad</c:v>
                </c:pt>
                <c:pt idx="9">
                  <c:v>Hyderabad</c:v>
                </c:pt>
              </c:strCache>
            </c:strRef>
          </c:cat>
          <c:val>
            <c:numRef>
              <c:f>Sheet1!$B$31:$B$40</c:f>
              <c:numCache>
                <c:formatCode>[$₹-4009]\ #,##0.00</c:formatCode>
                <c:ptCount val="10"/>
                <c:pt idx="0">
                  <c:v>3262077.4299999978</c:v>
                </c:pt>
                <c:pt idx="1">
                  <c:v>3213056.4600000014</c:v>
                </c:pt>
                <c:pt idx="2">
                  <c:v>3161091.5</c:v>
                </c:pt>
                <c:pt idx="3">
                  <c:v>3148292.69</c:v>
                </c:pt>
                <c:pt idx="4">
                  <c:v>2971339.4599999995</c:v>
                </c:pt>
                <c:pt idx="5">
                  <c:v>2798244.0300000003</c:v>
                </c:pt>
                <c:pt idx="6">
                  <c:v>2660336.4200000004</c:v>
                </c:pt>
                <c:pt idx="7">
                  <c:v>2359385.3599999994</c:v>
                </c:pt>
                <c:pt idx="8">
                  <c:v>2127277.96</c:v>
                </c:pt>
                <c:pt idx="9">
                  <c:v>1919549.7800000005</c:v>
                </c:pt>
              </c:numCache>
            </c:numRef>
          </c:val>
          <c:extLst>
            <c:ext xmlns:c16="http://schemas.microsoft.com/office/drawing/2014/chart" uri="{C3380CC4-5D6E-409C-BE32-E72D297353CC}">
              <c16:uniqueId val="{00000000-26F1-45F6-930E-AE71F0053D12}"/>
            </c:ext>
          </c:extLst>
        </c:ser>
        <c:dLbls>
          <c:showLegendKey val="0"/>
          <c:showVal val="0"/>
          <c:showCatName val="0"/>
          <c:showSerName val="0"/>
          <c:showPercent val="0"/>
          <c:showBubbleSize val="0"/>
        </c:dLbls>
        <c:gapWidth val="100"/>
        <c:axId val="406956559"/>
        <c:axId val="406550591"/>
      </c:barChart>
      <c:catAx>
        <c:axId val="4069565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6550591"/>
        <c:crosses val="autoZero"/>
        <c:auto val="1"/>
        <c:lblAlgn val="ctr"/>
        <c:lblOffset val="100"/>
        <c:noMultiLvlLbl val="0"/>
      </c:catAx>
      <c:valAx>
        <c:axId val="406550591"/>
        <c:scaling>
          <c:orientation val="minMax"/>
        </c:scaling>
        <c:delete val="0"/>
        <c:axPos val="b"/>
        <c:majorGridlines>
          <c:spPr>
            <a:ln w="9525" cap="flat" cmpd="sng" algn="ctr">
              <a:solidFill>
                <a:schemeClr val="tx2">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6956559"/>
        <c:crosses val="autoZero"/>
        <c:crossBetween val="between"/>
        <c:dispUnits>
          <c:builtInUnit val="millions"/>
          <c:dispUnitsLbl>
            <c:layout>
              <c:manualLayout>
                <c:xMode val="edge"/>
                <c:yMode val="edge"/>
                <c:x val="0.42397922134733157"/>
                <c:y val="0.89256926217556143"/>
              </c:manualLayout>
            </c:layout>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SG" sz="1050" b="0"/>
                    <a:t>Millions</a:t>
                  </a:r>
                </a:p>
              </c:rich>
            </c:tx>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Product</a:t>
            </a:r>
          </a:p>
        </c:rich>
      </c:tx>
      <c:layout>
        <c:manualLayout>
          <c:xMode val="edge"/>
          <c:yMode val="edge"/>
          <c:x val="0.34103432700993674"/>
          <c:y val="8.0852785625534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6389760223061"/>
          <c:y val="0.21159618008185538"/>
          <c:w val="0.83527747547816689"/>
          <c:h val="0.56941344132801952"/>
        </c:manualLayout>
      </c:layout>
      <c:barChart>
        <c:barDir val="col"/>
        <c:grouping val="clustered"/>
        <c:varyColors val="0"/>
        <c:ser>
          <c:idx val="0"/>
          <c:order val="0"/>
          <c:tx>
            <c:strRef>
              <c:f>Sheet1!$B$50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Sheet1!$A$51:$A$64</c:f>
              <c:strCache>
                <c:ptCount val="14"/>
                <c:pt idx="0">
                  <c:v>Laptop</c:v>
                </c:pt>
                <c:pt idx="1">
                  <c:v>Tablet</c:v>
                </c:pt>
                <c:pt idx="2">
                  <c:v>Smartphone</c:v>
                </c:pt>
                <c:pt idx="3">
                  <c:v>Air Fryer</c:v>
                </c:pt>
                <c:pt idx="4">
                  <c:v>Watch</c:v>
                </c:pt>
                <c:pt idx="5">
                  <c:v>Coffee Maker</c:v>
                </c:pt>
                <c:pt idx="6">
                  <c:v>Mixer</c:v>
                </c:pt>
                <c:pt idx="7">
                  <c:v>Shoes</c:v>
                </c:pt>
                <c:pt idx="8">
                  <c:v>Jeans</c:v>
                </c:pt>
                <c:pt idx="9">
                  <c:v>Backpack</c:v>
                </c:pt>
                <c:pt idx="10">
                  <c:v>Headphones</c:v>
                </c:pt>
                <c:pt idx="11">
                  <c:v>Keyboard</c:v>
                </c:pt>
                <c:pt idx="12">
                  <c:v>T-Shirt</c:v>
                </c:pt>
                <c:pt idx="13">
                  <c:v>Book</c:v>
                </c:pt>
              </c:strCache>
            </c:strRef>
          </c:cat>
          <c:val>
            <c:numRef>
              <c:f>Sheet1!$B$51:$B$64</c:f>
              <c:numCache>
                <c:formatCode>[$₹-4009]\ #,##0.00</c:formatCode>
                <c:ptCount val="14"/>
                <c:pt idx="0">
                  <c:v>11411335.180000002</c:v>
                </c:pt>
                <c:pt idx="1">
                  <c:v>5933914.0899999999</c:v>
                </c:pt>
                <c:pt idx="2">
                  <c:v>3535262.7899999996</c:v>
                </c:pt>
                <c:pt idx="3">
                  <c:v>1533421.5299999998</c:v>
                </c:pt>
                <c:pt idx="4">
                  <c:v>1203724.8299999998</c:v>
                </c:pt>
                <c:pt idx="5">
                  <c:v>812719.87000000011</c:v>
                </c:pt>
                <c:pt idx="6">
                  <c:v>795340.32000000007</c:v>
                </c:pt>
                <c:pt idx="7">
                  <c:v>515253.55</c:v>
                </c:pt>
                <c:pt idx="8">
                  <c:v>428059.92</c:v>
                </c:pt>
                <c:pt idx="9">
                  <c:v>426721.6700000001</c:v>
                </c:pt>
                <c:pt idx="10">
                  <c:v>396049.48999999993</c:v>
                </c:pt>
                <c:pt idx="11">
                  <c:v>329956.17</c:v>
                </c:pt>
                <c:pt idx="12">
                  <c:v>209054.90999999992</c:v>
                </c:pt>
                <c:pt idx="13">
                  <c:v>89836.77</c:v>
                </c:pt>
              </c:numCache>
            </c:numRef>
          </c:val>
          <c:extLst>
            <c:ext xmlns:c16="http://schemas.microsoft.com/office/drawing/2014/chart" uri="{C3380CC4-5D6E-409C-BE32-E72D297353CC}">
              <c16:uniqueId val="{00000000-3925-433E-B581-3AE859C2278B}"/>
            </c:ext>
          </c:extLst>
        </c:ser>
        <c:dLbls>
          <c:dLblPos val="outEnd"/>
          <c:showLegendKey val="0"/>
          <c:showVal val="1"/>
          <c:showCatName val="0"/>
          <c:showSerName val="0"/>
          <c:showPercent val="0"/>
          <c:showBubbleSize val="0"/>
        </c:dLbls>
        <c:gapWidth val="100"/>
        <c:overlap val="-24"/>
        <c:axId val="413086175"/>
        <c:axId val="413082815"/>
      </c:barChart>
      <c:catAx>
        <c:axId val="4130861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3082815"/>
        <c:crosses val="autoZero"/>
        <c:auto val="1"/>
        <c:lblAlgn val="ctr"/>
        <c:lblOffset val="100"/>
        <c:noMultiLvlLbl val="0"/>
      </c:catAx>
      <c:valAx>
        <c:axId val="413082815"/>
        <c:scaling>
          <c:orientation val="minMax"/>
        </c:scaling>
        <c:delete val="0"/>
        <c:axPos val="l"/>
        <c:majorGridlines>
          <c:spPr>
            <a:ln w="9525" cap="flat" cmpd="sng" algn="ctr">
              <a:solidFill>
                <a:schemeClr val="tx2">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3086175"/>
        <c:crosses val="autoZero"/>
        <c:crossBetween val="between"/>
        <c:dispUnits>
          <c:builtInUnit val="millions"/>
          <c:dispUnitsLbl>
            <c:layout>
              <c:manualLayout>
                <c:xMode val="edge"/>
                <c:yMode val="edge"/>
                <c:x val="2.032520325203252E-2"/>
                <c:y val="0.40713960891314233"/>
              </c:manualLayout>
            </c:layout>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SG"/>
                    <a:t>Millions</a:t>
                  </a:r>
                </a:p>
              </c:rich>
            </c:tx>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 sold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Sheet1!$A$71:$A$75</c:f>
              <c:strCache>
                <c:ptCount val="5"/>
                <c:pt idx="0">
                  <c:v>Electronics</c:v>
                </c:pt>
                <c:pt idx="1">
                  <c:v>Fashion</c:v>
                </c:pt>
                <c:pt idx="2">
                  <c:v>Home Appliances</c:v>
                </c:pt>
                <c:pt idx="3">
                  <c:v>Accessories</c:v>
                </c:pt>
                <c:pt idx="4">
                  <c:v>Books</c:v>
                </c:pt>
              </c:strCache>
            </c:strRef>
          </c:cat>
          <c:val>
            <c:numRef>
              <c:f>Sheet1!$B$71:$B$75</c:f>
              <c:numCache>
                <c:formatCode>General</c:formatCode>
                <c:ptCount val="5"/>
                <c:pt idx="0">
                  <c:v>1017</c:v>
                </c:pt>
                <c:pt idx="1">
                  <c:v>679</c:v>
                </c:pt>
                <c:pt idx="2">
                  <c:v>658</c:v>
                </c:pt>
                <c:pt idx="3">
                  <c:v>482</c:v>
                </c:pt>
                <c:pt idx="4">
                  <c:v>199</c:v>
                </c:pt>
              </c:numCache>
            </c:numRef>
          </c:val>
          <c:extLst>
            <c:ext xmlns:c16="http://schemas.microsoft.com/office/drawing/2014/chart" uri="{C3380CC4-5D6E-409C-BE32-E72D297353CC}">
              <c16:uniqueId val="{00000000-7B55-4852-9983-F4EA1D603E3D}"/>
            </c:ext>
          </c:extLst>
        </c:ser>
        <c:dLbls>
          <c:dLblPos val="outEnd"/>
          <c:showLegendKey val="0"/>
          <c:showVal val="1"/>
          <c:showCatName val="0"/>
          <c:showSerName val="0"/>
          <c:showPercent val="0"/>
          <c:showBubbleSize val="0"/>
        </c:dLbls>
        <c:gapWidth val="100"/>
        <c:axId val="414746623"/>
        <c:axId val="414747103"/>
      </c:barChart>
      <c:catAx>
        <c:axId val="414746623"/>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4747103"/>
        <c:crosses val="autoZero"/>
        <c:auto val="1"/>
        <c:lblAlgn val="ctr"/>
        <c:lblOffset val="100"/>
        <c:noMultiLvlLbl val="0"/>
      </c:catAx>
      <c:valAx>
        <c:axId val="414747103"/>
        <c:scaling>
          <c:orientation val="minMax"/>
        </c:scaling>
        <c:delete val="0"/>
        <c:axPos val="t"/>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474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Sheet1!$A$86:$A$95</c:f>
              <c:strCache>
                <c:ptCount val="10"/>
                <c:pt idx="0">
                  <c:v>Mumbai</c:v>
                </c:pt>
                <c:pt idx="1">
                  <c:v>Jaipur</c:v>
                </c:pt>
                <c:pt idx="2">
                  <c:v>Surat</c:v>
                </c:pt>
                <c:pt idx="3">
                  <c:v>Pune</c:v>
                </c:pt>
                <c:pt idx="4">
                  <c:v>Ahmedabad</c:v>
                </c:pt>
                <c:pt idx="5">
                  <c:v>Chennai</c:v>
                </c:pt>
                <c:pt idx="6">
                  <c:v>Hyderabad</c:v>
                </c:pt>
                <c:pt idx="7">
                  <c:v>Delhi</c:v>
                </c:pt>
                <c:pt idx="8">
                  <c:v>Bangalore</c:v>
                </c:pt>
                <c:pt idx="9">
                  <c:v>Kolkata</c:v>
                </c:pt>
              </c:strCache>
            </c:strRef>
          </c:cat>
          <c:val>
            <c:numRef>
              <c:f>Sheet1!$B$86:$B$95</c:f>
              <c:numCache>
                <c:formatCode>General</c:formatCode>
                <c:ptCount val="10"/>
                <c:pt idx="0">
                  <c:v>126</c:v>
                </c:pt>
                <c:pt idx="1">
                  <c:v>105</c:v>
                </c:pt>
                <c:pt idx="2">
                  <c:v>105</c:v>
                </c:pt>
                <c:pt idx="3">
                  <c:v>102</c:v>
                </c:pt>
                <c:pt idx="4">
                  <c:v>99</c:v>
                </c:pt>
                <c:pt idx="5">
                  <c:v>98</c:v>
                </c:pt>
                <c:pt idx="6">
                  <c:v>96</c:v>
                </c:pt>
                <c:pt idx="7">
                  <c:v>94</c:v>
                </c:pt>
                <c:pt idx="8">
                  <c:v>88</c:v>
                </c:pt>
                <c:pt idx="9">
                  <c:v>87</c:v>
                </c:pt>
              </c:numCache>
            </c:numRef>
          </c:val>
          <c:extLst>
            <c:ext xmlns:c16="http://schemas.microsoft.com/office/drawing/2014/chart" uri="{C3380CC4-5D6E-409C-BE32-E72D297353CC}">
              <c16:uniqueId val="{00000000-AA56-4B62-BD6A-91F018C969DE}"/>
            </c:ext>
          </c:extLst>
        </c:ser>
        <c:dLbls>
          <c:showLegendKey val="0"/>
          <c:showVal val="0"/>
          <c:showCatName val="0"/>
          <c:showSerName val="0"/>
          <c:showPercent val="0"/>
          <c:showBubbleSize val="0"/>
        </c:dLbls>
        <c:gapWidth val="100"/>
        <c:axId val="425096063"/>
        <c:axId val="425099903"/>
      </c:barChart>
      <c:catAx>
        <c:axId val="4250960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5099903"/>
        <c:crosses val="autoZero"/>
        <c:auto val="1"/>
        <c:lblAlgn val="ctr"/>
        <c:lblOffset val="100"/>
        <c:noMultiLvlLbl val="0"/>
      </c:catAx>
      <c:valAx>
        <c:axId val="4250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50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Monthly revenue trend</a:t>
            </a:r>
          </a:p>
        </c:rich>
      </c:tx>
      <c:layout>
        <c:manualLayout>
          <c:xMode val="edge"/>
          <c:yMode val="edge"/>
          <c:x val="0.308660805746518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bg1"/>
            </a:solidFill>
            <a:round/>
          </a:ln>
          <a:effectLst/>
        </c:spPr>
        <c:marker>
          <c:symbol val="circle"/>
          <c:size val="6"/>
          <c:spPr>
            <a:solidFill>
              <a:schemeClr val="bg1">
                <a:lumMod val="95000"/>
              </a:schemeClr>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bg1"/>
            </a:solidFill>
            <a:round/>
          </a:ln>
          <a:effectLst/>
        </c:spPr>
        <c:marker>
          <c:symbol val="circle"/>
          <c:size val="6"/>
          <c:spPr>
            <a:solidFill>
              <a:schemeClr val="bg1">
                <a:lumMod val="95000"/>
              </a:schemeClr>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0078D7"/>
            </a:solidFill>
            <a:round/>
          </a:ln>
          <a:effectLst/>
        </c:spPr>
        <c:marker>
          <c:symbol val="circle"/>
          <c:size val="6"/>
          <c:spPr>
            <a:solidFill>
              <a:schemeClr val="bg1"/>
            </a:solidFill>
            <a:ln w="9525">
              <a:solidFill>
                <a:srgbClr val="0000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0078D7"/>
            </a:solidFill>
            <a:round/>
          </a:ln>
          <a:effectLst/>
        </c:spPr>
        <c:marker>
          <c:symbol val="circle"/>
          <c:size val="6"/>
          <c:spPr>
            <a:solidFill>
              <a:schemeClr val="bg1"/>
            </a:solidFill>
            <a:ln w="9525">
              <a:solidFill>
                <a:srgbClr val="000066"/>
              </a:solidFill>
            </a:ln>
            <a:effectLst/>
          </c:spPr>
        </c:marker>
      </c:pivotFmt>
    </c:pivotFmts>
    <c:plotArea>
      <c:layout>
        <c:manualLayout>
          <c:layoutTarget val="inner"/>
          <c:xMode val="edge"/>
          <c:yMode val="edge"/>
          <c:x val="8.7477521783474593E-2"/>
          <c:y val="0.10487217709017969"/>
          <c:w val="0.88858299744531"/>
          <c:h val="0.81878416866020021"/>
        </c:manualLayout>
      </c:layout>
      <c:lineChart>
        <c:grouping val="standard"/>
        <c:varyColors val="0"/>
        <c:ser>
          <c:idx val="0"/>
          <c:order val="0"/>
          <c:tx>
            <c:strRef>
              <c:f>Sheet1!$B$18</c:f>
              <c:strCache>
                <c:ptCount val="1"/>
                <c:pt idx="0">
                  <c:v>Total</c:v>
                </c:pt>
              </c:strCache>
            </c:strRef>
          </c:tx>
          <c:spPr>
            <a:ln w="31750" cap="rnd">
              <a:solidFill>
                <a:srgbClr val="0078D7"/>
              </a:solidFill>
              <a:round/>
            </a:ln>
            <a:effectLst/>
          </c:spPr>
          <c:marker>
            <c:symbol val="circle"/>
            <c:size val="6"/>
            <c:spPr>
              <a:solidFill>
                <a:schemeClr val="bg1"/>
              </a:solidFill>
              <a:ln w="9525">
                <a:solidFill>
                  <a:srgbClr val="00006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Sheet1!$A$19:$A$24</c:f>
              <c:strCache>
                <c:ptCount val="6"/>
                <c:pt idx="0">
                  <c:v>Jan</c:v>
                </c:pt>
                <c:pt idx="1">
                  <c:v>Feb</c:v>
                </c:pt>
                <c:pt idx="2">
                  <c:v>Mar</c:v>
                </c:pt>
                <c:pt idx="3">
                  <c:v>Apr</c:v>
                </c:pt>
                <c:pt idx="4">
                  <c:v>May</c:v>
                </c:pt>
                <c:pt idx="5">
                  <c:v>Jun</c:v>
                </c:pt>
              </c:strCache>
            </c:strRef>
          </c:cat>
          <c:val>
            <c:numRef>
              <c:f>Sheet1!$B$19:$B$24</c:f>
              <c:numCache>
                <c:formatCode>[$₹-4009]\ #,##0.00</c:formatCode>
                <c:ptCount val="6"/>
                <c:pt idx="0">
                  <c:v>5205216.1399999987</c:v>
                </c:pt>
                <c:pt idx="1">
                  <c:v>4418598.6399999997</c:v>
                </c:pt>
                <c:pt idx="2">
                  <c:v>4668486.2499999981</c:v>
                </c:pt>
                <c:pt idx="3">
                  <c:v>4655427.1899999976</c:v>
                </c:pt>
                <c:pt idx="4">
                  <c:v>4860089.3500000006</c:v>
                </c:pt>
                <c:pt idx="5">
                  <c:v>3812833.5200000014</c:v>
                </c:pt>
              </c:numCache>
            </c:numRef>
          </c:val>
          <c:smooth val="0"/>
          <c:extLst>
            <c:ext xmlns:c16="http://schemas.microsoft.com/office/drawing/2014/chart" uri="{C3380CC4-5D6E-409C-BE32-E72D297353CC}">
              <c16:uniqueId val="{00000000-4CFE-4187-8466-4FCBCF7234C2}"/>
            </c:ext>
          </c:extLst>
        </c:ser>
        <c:dLbls>
          <c:dLblPos val="t"/>
          <c:showLegendKey val="0"/>
          <c:showVal val="1"/>
          <c:showCatName val="0"/>
          <c:showSerName val="0"/>
          <c:showPercent val="0"/>
          <c:showBubbleSize val="0"/>
        </c:dLbls>
        <c:marker val="1"/>
        <c:smooth val="0"/>
        <c:axId val="381580175"/>
        <c:axId val="381580655"/>
      </c:lineChart>
      <c:catAx>
        <c:axId val="381580175"/>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1580655"/>
        <c:crosses val="autoZero"/>
        <c:auto val="1"/>
        <c:lblAlgn val="ctr"/>
        <c:lblOffset val="100"/>
        <c:noMultiLvlLbl val="0"/>
      </c:catAx>
      <c:valAx>
        <c:axId val="381580655"/>
        <c:scaling>
          <c:orientation val="minMax"/>
        </c:scaling>
        <c:delete val="0"/>
        <c:axPos val="l"/>
        <c:numFmt formatCode="[$₹-4009]\ #,##0.0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noFill/>
                <a:latin typeface="+mn-lt"/>
                <a:ea typeface="+mn-ea"/>
                <a:cs typeface="+mn-cs"/>
              </a:defRPr>
            </a:pPr>
            <a:endParaRPr lang="en-US"/>
          </a:p>
        </c:txPr>
        <c:crossAx val="381580175"/>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[ecommerce_sales_dashboard_Roshi.xlsx]Sheet1!PivotTable3</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Revenue by City</a:t>
            </a:r>
          </a:p>
        </c:rich>
      </c:tx>
      <c:layout>
        <c:manualLayout>
          <c:xMode val="edge"/>
          <c:yMode val="edge"/>
          <c:x val="0.39859004781936502"/>
          <c:y val="1.27737214041303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77521783474593E-2"/>
          <c:y val="0.10487217709017969"/>
          <c:w val="0.88858299744531"/>
          <c:h val="0.81878416866020021"/>
        </c:manualLayout>
      </c:layout>
      <c:barChart>
        <c:barDir val="bar"/>
        <c:grouping val="clustered"/>
        <c:varyColors val="0"/>
        <c:ser>
          <c:idx val="0"/>
          <c:order val="0"/>
          <c:tx>
            <c:strRef>
              <c:f>Sheet1!$B$30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Sheet1!$A$31:$A$40</c:f>
              <c:strCache>
                <c:ptCount val="10"/>
                <c:pt idx="0">
                  <c:v>Pune</c:v>
                </c:pt>
                <c:pt idx="1">
                  <c:v>Mumbai</c:v>
                </c:pt>
                <c:pt idx="2">
                  <c:v>Jaipur</c:v>
                </c:pt>
                <c:pt idx="3">
                  <c:v>Bangalore</c:v>
                </c:pt>
                <c:pt idx="4">
                  <c:v>Kolkata</c:v>
                </c:pt>
                <c:pt idx="5">
                  <c:v>Surat</c:v>
                </c:pt>
                <c:pt idx="6">
                  <c:v>Delhi</c:v>
                </c:pt>
                <c:pt idx="7">
                  <c:v>Chennai</c:v>
                </c:pt>
                <c:pt idx="8">
                  <c:v>Ahmedabad</c:v>
                </c:pt>
                <c:pt idx="9">
                  <c:v>Hyderabad</c:v>
                </c:pt>
              </c:strCache>
            </c:strRef>
          </c:cat>
          <c:val>
            <c:numRef>
              <c:f>Sheet1!$B$31:$B$40</c:f>
              <c:numCache>
                <c:formatCode>[$₹-4009]\ #,##0.00</c:formatCode>
                <c:ptCount val="10"/>
                <c:pt idx="0">
                  <c:v>3262077.4299999978</c:v>
                </c:pt>
                <c:pt idx="1">
                  <c:v>3213056.4600000014</c:v>
                </c:pt>
                <c:pt idx="2">
                  <c:v>3161091.5</c:v>
                </c:pt>
                <c:pt idx="3">
                  <c:v>3148292.69</c:v>
                </c:pt>
                <c:pt idx="4">
                  <c:v>2971339.4599999995</c:v>
                </c:pt>
                <c:pt idx="5">
                  <c:v>2798244.0300000003</c:v>
                </c:pt>
                <c:pt idx="6">
                  <c:v>2660336.4200000004</c:v>
                </c:pt>
                <c:pt idx="7">
                  <c:v>2359385.3599999994</c:v>
                </c:pt>
                <c:pt idx="8">
                  <c:v>2127277.96</c:v>
                </c:pt>
                <c:pt idx="9">
                  <c:v>1919549.7800000005</c:v>
                </c:pt>
              </c:numCache>
            </c:numRef>
          </c:val>
          <c:extLst>
            <c:ext xmlns:c16="http://schemas.microsoft.com/office/drawing/2014/chart" uri="{C3380CC4-5D6E-409C-BE32-E72D297353CC}">
              <c16:uniqueId val="{00000004-E681-4E84-A381-54B18C725D3B}"/>
            </c:ext>
          </c:extLst>
        </c:ser>
        <c:dLbls>
          <c:dLblPos val="outEnd"/>
          <c:showLegendKey val="0"/>
          <c:showVal val="1"/>
          <c:showCatName val="0"/>
          <c:showSerName val="0"/>
          <c:showPercent val="0"/>
          <c:showBubbleSize val="0"/>
        </c:dLbls>
        <c:gapWidth val="100"/>
        <c:axId val="381580175"/>
        <c:axId val="381580655"/>
      </c:barChart>
      <c:catAx>
        <c:axId val="3815801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1580655"/>
        <c:crosses val="autoZero"/>
        <c:auto val="1"/>
        <c:lblAlgn val="ctr"/>
        <c:lblOffset val="100"/>
        <c:noMultiLvlLbl val="0"/>
      </c:catAx>
      <c:valAx>
        <c:axId val="381580655"/>
        <c:scaling>
          <c:orientation val="minMax"/>
        </c:scaling>
        <c:delete val="0"/>
        <c:axPos val="b"/>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81580175"/>
        <c:crosses val="autoZero"/>
        <c:crossBetween val="between"/>
        <c:dispUnits>
          <c:builtInUnit val="millions"/>
        </c:dispUnits>
      </c:valAx>
      <c:spPr>
        <a:solidFill>
          <a:srgbClr val="0D2548"/>
        </a:solidFill>
        <a:ln>
          <a:noFill/>
        </a:ln>
        <a:effectLst/>
      </c:spPr>
    </c:plotArea>
    <c:plotVisOnly val="1"/>
    <c:dispBlanksAs val="gap"/>
    <c:showDLblsOverMax val="0"/>
    <c:extLst/>
  </c:chart>
  <c:spPr>
    <a:solidFill>
      <a:srgbClr val="0D254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[ecommerce_sales_dashboard_Roshi.xlsx]Sheet1!PivotTable4</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Revenue by Product</a:t>
            </a:r>
          </a:p>
        </c:rich>
      </c:tx>
      <c:layout>
        <c:manualLayout>
          <c:xMode val="edge"/>
          <c:yMode val="edge"/>
          <c:x val="0.33662351744182512"/>
          <c:y val="4.6682804919579074E-2"/>
        </c:manualLayout>
      </c:layout>
      <c:overlay val="0"/>
      <c:spPr>
        <a:solidFill>
          <a:srgbClr val="0D2548"/>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3420858903861"/>
          <c:y val="0.22129178292916607"/>
          <c:w val="0.83527747547816689"/>
          <c:h val="0.56941344132801952"/>
        </c:manualLayout>
      </c:layout>
      <c:barChart>
        <c:barDir val="col"/>
        <c:grouping val="clustered"/>
        <c:varyColors val="0"/>
        <c:ser>
          <c:idx val="0"/>
          <c:order val="0"/>
          <c:tx>
            <c:strRef>
              <c:f>Sheet1!$B$50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Sheet1!$A$51:$A$64</c:f>
              <c:strCache>
                <c:ptCount val="14"/>
                <c:pt idx="0">
                  <c:v>Laptop</c:v>
                </c:pt>
                <c:pt idx="1">
                  <c:v>Tablet</c:v>
                </c:pt>
                <c:pt idx="2">
                  <c:v>Smartphone</c:v>
                </c:pt>
                <c:pt idx="3">
                  <c:v>Air Fryer</c:v>
                </c:pt>
                <c:pt idx="4">
                  <c:v>Watch</c:v>
                </c:pt>
                <c:pt idx="5">
                  <c:v>Coffee Maker</c:v>
                </c:pt>
                <c:pt idx="6">
                  <c:v>Mixer</c:v>
                </c:pt>
                <c:pt idx="7">
                  <c:v>Shoes</c:v>
                </c:pt>
                <c:pt idx="8">
                  <c:v>Jeans</c:v>
                </c:pt>
                <c:pt idx="9">
                  <c:v>Backpack</c:v>
                </c:pt>
                <c:pt idx="10">
                  <c:v>Headphones</c:v>
                </c:pt>
                <c:pt idx="11">
                  <c:v>Keyboard</c:v>
                </c:pt>
                <c:pt idx="12">
                  <c:v>T-Shirt</c:v>
                </c:pt>
                <c:pt idx="13">
                  <c:v>Book</c:v>
                </c:pt>
              </c:strCache>
            </c:strRef>
          </c:cat>
          <c:val>
            <c:numRef>
              <c:f>Sheet1!$B$51:$B$64</c:f>
              <c:numCache>
                <c:formatCode>[$₹-4009]\ #,##0.00</c:formatCode>
                <c:ptCount val="14"/>
                <c:pt idx="0">
                  <c:v>11411335.180000002</c:v>
                </c:pt>
                <c:pt idx="1">
                  <c:v>5933914.0899999999</c:v>
                </c:pt>
                <c:pt idx="2">
                  <c:v>3535262.7899999996</c:v>
                </c:pt>
                <c:pt idx="3">
                  <c:v>1533421.5299999998</c:v>
                </c:pt>
                <c:pt idx="4">
                  <c:v>1203724.8299999998</c:v>
                </c:pt>
                <c:pt idx="5">
                  <c:v>812719.87000000011</c:v>
                </c:pt>
                <c:pt idx="6">
                  <c:v>795340.32000000007</c:v>
                </c:pt>
                <c:pt idx="7">
                  <c:v>515253.55</c:v>
                </c:pt>
                <c:pt idx="8">
                  <c:v>428059.92</c:v>
                </c:pt>
                <c:pt idx="9">
                  <c:v>426721.6700000001</c:v>
                </c:pt>
                <c:pt idx="10">
                  <c:v>396049.48999999993</c:v>
                </c:pt>
                <c:pt idx="11">
                  <c:v>329956.17</c:v>
                </c:pt>
                <c:pt idx="12">
                  <c:v>209054.90999999992</c:v>
                </c:pt>
                <c:pt idx="13">
                  <c:v>89836.77</c:v>
                </c:pt>
              </c:numCache>
            </c:numRef>
          </c:val>
          <c:extLst>
            <c:ext xmlns:c16="http://schemas.microsoft.com/office/drawing/2014/chart" uri="{C3380CC4-5D6E-409C-BE32-E72D297353CC}">
              <c16:uniqueId val="{00000000-42EE-4FF1-927D-8332EEC613E4}"/>
            </c:ext>
          </c:extLst>
        </c:ser>
        <c:dLbls>
          <c:dLblPos val="outEnd"/>
          <c:showLegendKey val="0"/>
          <c:showVal val="1"/>
          <c:showCatName val="0"/>
          <c:showSerName val="0"/>
          <c:showPercent val="0"/>
          <c:showBubbleSize val="0"/>
        </c:dLbls>
        <c:gapWidth val="100"/>
        <c:overlap val="-24"/>
        <c:axId val="413086175"/>
        <c:axId val="413082815"/>
      </c:barChart>
      <c:catAx>
        <c:axId val="413086175"/>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w="6350">
                  <a:solidFill>
                    <a:schemeClr val="bg1"/>
                  </a:solidFill>
                </a:ln>
                <a:noFill/>
                <a:latin typeface="+mn-lt"/>
                <a:ea typeface="+mn-ea"/>
                <a:cs typeface="+mn-cs"/>
              </a:defRPr>
            </a:pPr>
            <a:endParaRPr lang="en-US"/>
          </a:p>
        </c:txPr>
        <c:crossAx val="413082815"/>
        <c:crosses val="autoZero"/>
        <c:auto val="1"/>
        <c:lblAlgn val="ctr"/>
        <c:lblOffset val="100"/>
        <c:noMultiLvlLbl val="0"/>
      </c:catAx>
      <c:valAx>
        <c:axId val="413082815"/>
        <c:scaling>
          <c:orientation val="minMax"/>
        </c:scaling>
        <c:delete val="0"/>
        <c:axPos val="l"/>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3086175"/>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rPr>
              <a:t>Orders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02460979897"/>
          <c:y val="0.19010765509336006"/>
          <c:w val="0.82297617970647385"/>
          <c:h val="0.71079421285202238"/>
        </c:manualLayout>
      </c:layout>
      <c:barChart>
        <c:barDir val="bar"/>
        <c:grouping val="clustered"/>
        <c:varyColors val="0"/>
        <c:ser>
          <c:idx val="0"/>
          <c:order val="0"/>
          <c:tx>
            <c:strRef>
              <c:f>Sheet1!$B$85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Sheet1!$A$86:$A$95</c:f>
              <c:strCache>
                <c:ptCount val="10"/>
                <c:pt idx="0">
                  <c:v>Mumbai</c:v>
                </c:pt>
                <c:pt idx="1">
                  <c:v>Jaipur</c:v>
                </c:pt>
                <c:pt idx="2">
                  <c:v>Surat</c:v>
                </c:pt>
                <c:pt idx="3">
                  <c:v>Pune</c:v>
                </c:pt>
                <c:pt idx="4">
                  <c:v>Ahmedabad</c:v>
                </c:pt>
                <c:pt idx="5">
                  <c:v>Chennai</c:v>
                </c:pt>
                <c:pt idx="6">
                  <c:v>Hyderabad</c:v>
                </c:pt>
                <c:pt idx="7">
                  <c:v>Delhi</c:v>
                </c:pt>
                <c:pt idx="8">
                  <c:v>Bangalore</c:v>
                </c:pt>
                <c:pt idx="9">
                  <c:v>Kolkata</c:v>
                </c:pt>
              </c:strCache>
            </c:strRef>
          </c:cat>
          <c:val>
            <c:numRef>
              <c:f>Sheet1!$B$86:$B$95</c:f>
              <c:numCache>
                <c:formatCode>General</c:formatCode>
                <c:ptCount val="10"/>
                <c:pt idx="0">
                  <c:v>126</c:v>
                </c:pt>
                <c:pt idx="1">
                  <c:v>105</c:v>
                </c:pt>
                <c:pt idx="2">
                  <c:v>105</c:v>
                </c:pt>
                <c:pt idx="3">
                  <c:v>102</c:v>
                </c:pt>
                <c:pt idx="4">
                  <c:v>99</c:v>
                </c:pt>
                <c:pt idx="5">
                  <c:v>98</c:v>
                </c:pt>
                <c:pt idx="6">
                  <c:v>96</c:v>
                </c:pt>
                <c:pt idx="7">
                  <c:v>94</c:v>
                </c:pt>
                <c:pt idx="8">
                  <c:v>88</c:v>
                </c:pt>
                <c:pt idx="9">
                  <c:v>87</c:v>
                </c:pt>
              </c:numCache>
            </c:numRef>
          </c:val>
          <c:extLst>
            <c:ext xmlns:c16="http://schemas.microsoft.com/office/drawing/2014/chart" uri="{C3380CC4-5D6E-409C-BE32-E72D297353CC}">
              <c16:uniqueId val="{00000000-1E51-412F-BD19-4E652C2F9427}"/>
            </c:ext>
          </c:extLst>
        </c:ser>
        <c:dLbls>
          <c:dLblPos val="outEnd"/>
          <c:showLegendKey val="0"/>
          <c:showVal val="1"/>
          <c:showCatName val="0"/>
          <c:showSerName val="0"/>
          <c:showPercent val="0"/>
          <c:showBubbleSize val="0"/>
        </c:dLbls>
        <c:gapWidth val="100"/>
        <c:axId val="425096063"/>
        <c:axId val="425099903"/>
      </c:barChart>
      <c:catAx>
        <c:axId val="4250960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099903"/>
        <c:crosses val="autoZero"/>
        <c:auto val="1"/>
        <c:lblAlgn val="ctr"/>
        <c:lblOffset val="100"/>
        <c:noMultiLvlLbl val="0"/>
      </c:catAx>
      <c:valAx>
        <c:axId val="4250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0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254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SG" sz="1600" b="1">
                <a:solidFill>
                  <a:schemeClr val="bg1"/>
                </a:solidFill>
              </a:rPr>
              <a:t>Revenue</a:t>
            </a:r>
            <a:r>
              <a:rPr lang="en-SG" sz="1600" b="1" baseline="0">
                <a:solidFill>
                  <a:schemeClr val="bg1"/>
                </a:solidFill>
              </a:rPr>
              <a:t> by category</a:t>
            </a:r>
            <a:endParaRPr lang="en-SG" sz="1600" b="1">
              <a:solidFill>
                <a:schemeClr val="bg1"/>
              </a:solidFill>
            </a:endParaRPr>
          </a:p>
        </c:rich>
      </c:tx>
      <c:layout>
        <c:manualLayout>
          <c:xMode val="edge"/>
          <c:yMode val="edge"/>
          <c:x val="0.31621245966741129"/>
          <c:y val="1.4429786145841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242270938729624E-2"/>
              <c:y val="4.8449612403100775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dLbl>
          <c:idx val="0"/>
          <c:layout>
            <c:manualLayout>
              <c:x val="1.1242270938729624E-2"/>
              <c:y val="4.8449612403100775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dLbl>
          <c:idx val="0"/>
          <c:layout>
            <c:manualLayout>
              <c:x val="1.1242270938729624E-2"/>
              <c:y val="4.8449612403100775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667804024496939"/>
          <c:y val="0.2061574074074074"/>
          <c:w val="0.78721084864391955"/>
          <c:h val="0.65873468941382329"/>
        </c:manualLayout>
      </c:layout>
      <c:pie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F88-48E7-ACC7-FDAF6CFF5D5F}"/>
              </c:ext>
            </c:extLst>
          </c:dPt>
          <c:dPt>
            <c:idx val="1"/>
            <c:bubble3D val="0"/>
            <c:spPr>
              <a:solidFill>
                <a:schemeClr val="accent2"/>
              </a:solidFill>
              <a:ln>
                <a:noFill/>
              </a:ln>
              <a:effectLst/>
            </c:spPr>
            <c:extLst>
              <c:ext xmlns:c16="http://schemas.microsoft.com/office/drawing/2014/chart" uri="{C3380CC4-5D6E-409C-BE32-E72D297353CC}">
                <c16:uniqueId val="{00000003-CF88-48E7-ACC7-FDAF6CFF5D5F}"/>
              </c:ext>
            </c:extLst>
          </c:dPt>
          <c:dPt>
            <c:idx val="2"/>
            <c:bubble3D val="0"/>
            <c:spPr>
              <a:solidFill>
                <a:schemeClr val="accent3"/>
              </a:solidFill>
              <a:ln>
                <a:noFill/>
              </a:ln>
              <a:effectLst/>
            </c:spPr>
            <c:extLst>
              <c:ext xmlns:c16="http://schemas.microsoft.com/office/drawing/2014/chart" uri="{C3380CC4-5D6E-409C-BE32-E72D297353CC}">
                <c16:uniqueId val="{00000005-CF88-48E7-ACC7-FDAF6CFF5D5F}"/>
              </c:ext>
            </c:extLst>
          </c:dPt>
          <c:dPt>
            <c:idx val="3"/>
            <c:bubble3D val="0"/>
            <c:spPr>
              <a:solidFill>
                <a:schemeClr val="accent4"/>
              </a:solidFill>
              <a:ln>
                <a:noFill/>
              </a:ln>
              <a:effectLst/>
            </c:spPr>
            <c:extLst>
              <c:ext xmlns:c16="http://schemas.microsoft.com/office/drawing/2014/chart" uri="{C3380CC4-5D6E-409C-BE32-E72D297353CC}">
                <c16:uniqueId val="{00000007-CF88-48E7-ACC7-FDAF6CFF5D5F}"/>
              </c:ext>
            </c:extLst>
          </c:dPt>
          <c:dPt>
            <c:idx val="4"/>
            <c:bubble3D val="0"/>
            <c:spPr>
              <a:solidFill>
                <a:schemeClr val="accent5"/>
              </a:solidFill>
              <a:ln>
                <a:noFill/>
              </a:ln>
              <a:effectLst/>
            </c:spPr>
            <c:extLst>
              <c:ext xmlns:c16="http://schemas.microsoft.com/office/drawing/2014/chart" uri="{C3380CC4-5D6E-409C-BE32-E72D297353CC}">
                <c16:uniqueId val="{00000009-CF88-48E7-ACC7-FDAF6CFF5D5F}"/>
              </c:ext>
            </c:extLst>
          </c:dPt>
          <c:dLbls>
            <c:dLbl>
              <c:idx val="4"/>
              <c:layout>
                <c:manualLayout>
                  <c:x val="1.1242270938729624E-2"/>
                  <c:y val="4.8449612403100775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88-48E7-ACC7-FDAF6CFF5D5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5"/>
                <c:pt idx="0">
                  <c:v>Electronics</c:v>
                </c:pt>
                <c:pt idx="1">
                  <c:v>Home Appliances</c:v>
                </c:pt>
                <c:pt idx="2">
                  <c:v>Accessories</c:v>
                </c:pt>
                <c:pt idx="3">
                  <c:v>Fashion</c:v>
                </c:pt>
                <c:pt idx="4">
                  <c:v>Books</c:v>
                </c:pt>
              </c:strCache>
            </c:strRef>
          </c:cat>
          <c:val>
            <c:numRef>
              <c:f>Sheet1!$B$4:$B$8</c:f>
              <c:numCache>
                <c:formatCode>[$₹-4009]\ #,##0.00</c:formatCode>
                <c:ptCount val="5"/>
                <c:pt idx="0">
                  <c:v>21606517.720000014</c:v>
                </c:pt>
                <c:pt idx="1">
                  <c:v>3141481.7200000025</c:v>
                </c:pt>
                <c:pt idx="2">
                  <c:v>1630446.5000000002</c:v>
                </c:pt>
                <c:pt idx="3">
                  <c:v>1152368.3800000001</c:v>
                </c:pt>
                <c:pt idx="4">
                  <c:v>89836.77</c:v>
                </c:pt>
              </c:numCache>
            </c:numRef>
          </c:val>
          <c:extLst>
            <c:ext xmlns:c16="http://schemas.microsoft.com/office/drawing/2014/chart" uri="{C3380CC4-5D6E-409C-BE32-E72D297353CC}">
              <c16:uniqueId val="{0000000A-CF88-48E7-ACC7-FDAF6CFF5D5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254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[ecommerce_sales_dashboard_Roshi.xlsx]Sheet1!PivotTable5</c:name>
    <c:fmtId val="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Quantity sold by category</a:t>
            </a:r>
          </a:p>
        </c:rich>
      </c:tx>
      <c:layout>
        <c:manualLayout>
          <c:xMode val="edge"/>
          <c:yMode val="edge"/>
          <c:x val="0.2572152230971129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Sheet1!$A$71:$A$75</c:f>
              <c:strCache>
                <c:ptCount val="5"/>
                <c:pt idx="0">
                  <c:v>Electronics</c:v>
                </c:pt>
                <c:pt idx="1">
                  <c:v>Fashion</c:v>
                </c:pt>
                <c:pt idx="2">
                  <c:v>Home Appliances</c:v>
                </c:pt>
                <c:pt idx="3">
                  <c:v>Accessories</c:v>
                </c:pt>
                <c:pt idx="4">
                  <c:v>Books</c:v>
                </c:pt>
              </c:strCache>
            </c:strRef>
          </c:cat>
          <c:val>
            <c:numRef>
              <c:f>Sheet1!$B$71:$B$75</c:f>
              <c:numCache>
                <c:formatCode>General</c:formatCode>
                <c:ptCount val="5"/>
                <c:pt idx="0">
                  <c:v>1017</c:v>
                </c:pt>
                <c:pt idx="1">
                  <c:v>679</c:v>
                </c:pt>
                <c:pt idx="2">
                  <c:v>658</c:v>
                </c:pt>
                <c:pt idx="3">
                  <c:v>482</c:v>
                </c:pt>
                <c:pt idx="4">
                  <c:v>199</c:v>
                </c:pt>
              </c:numCache>
            </c:numRef>
          </c:val>
          <c:extLst>
            <c:ext xmlns:c16="http://schemas.microsoft.com/office/drawing/2014/chart" uri="{C3380CC4-5D6E-409C-BE32-E72D297353CC}">
              <c16:uniqueId val="{00000000-7D89-410D-AFE5-EE17D53357F1}"/>
            </c:ext>
          </c:extLst>
        </c:ser>
        <c:dLbls>
          <c:dLblPos val="outEnd"/>
          <c:showLegendKey val="0"/>
          <c:showVal val="1"/>
          <c:showCatName val="0"/>
          <c:showSerName val="0"/>
          <c:showPercent val="0"/>
          <c:showBubbleSize val="0"/>
        </c:dLbls>
        <c:gapWidth val="100"/>
        <c:axId val="414746623"/>
        <c:axId val="414747103"/>
      </c:barChart>
      <c:catAx>
        <c:axId val="414746623"/>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4747103"/>
        <c:crosses val="autoZero"/>
        <c:auto val="1"/>
        <c:lblAlgn val="ctr"/>
        <c:lblOffset val="100"/>
        <c:noMultiLvlLbl val="0"/>
      </c:catAx>
      <c:valAx>
        <c:axId val="4147471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474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254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487680</xdr:colOff>
      <xdr:row>0</xdr:row>
      <xdr:rowOff>121920</xdr:rowOff>
    </xdr:from>
    <xdr:to>
      <xdr:col>13</xdr:col>
      <xdr:colOff>601980</xdr:colOff>
      <xdr:row>15</xdr:row>
      <xdr:rowOff>0</xdr:rowOff>
    </xdr:to>
    <xdr:graphicFrame macro="">
      <xdr:nvGraphicFramePr>
        <xdr:cNvPr id="2" name="Chart 1">
          <a:extLst>
            <a:ext uri="{FF2B5EF4-FFF2-40B4-BE49-F238E27FC236}">
              <a16:creationId xmlns:a16="http://schemas.microsoft.com/office/drawing/2014/main" id="{16C8FEB1-A6B5-9DB2-AC8D-7ECB90D76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373380</xdr:colOff>
      <xdr:row>15</xdr:row>
      <xdr:rowOff>95250</xdr:rowOff>
    </xdr:from>
    <xdr:to>
      <xdr:col>9</xdr:col>
      <xdr:colOff>502920</xdr:colOff>
      <xdr:row>27</xdr:row>
      <xdr:rowOff>114300</xdr:rowOff>
    </xdr:to>
    <xdr:graphicFrame macro="">
      <xdr:nvGraphicFramePr>
        <xdr:cNvPr id="3" name="Chart 2">
          <a:extLst>
            <a:ext uri="{FF2B5EF4-FFF2-40B4-BE49-F238E27FC236}">
              <a16:creationId xmlns:a16="http://schemas.microsoft.com/office/drawing/2014/main" id="{460F7D33-BD95-1610-D3A1-495E29542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29</xdr:row>
      <xdr:rowOff>3810</xdr:rowOff>
    </xdr:from>
    <xdr:to>
      <xdr:col>9</xdr:col>
      <xdr:colOff>419100</xdr:colOff>
      <xdr:row>44</xdr:row>
      <xdr:rowOff>3810</xdr:rowOff>
    </xdr:to>
    <xdr:graphicFrame macro="">
      <xdr:nvGraphicFramePr>
        <xdr:cNvPr id="4" name="Chart 3">
          <a:extLst>
            <a:ext uri="{FF2B5EF4-FFF2-40B4-BE49-F238E27FC236}">
              <a16:creationId xmlns:a16="http://schemas.microsoft.com/office/drawing/2014/main" id="{9B9C40D1-3350-EB9C-A2E3-DB1447A9E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220980</xdr:colOff>
      <xdr:row>48</xdr:row>
      <xdr:rowOff>163830</xdr:rowOff>
    </xdr:from>
    <xdr:to>
      <xdr:col>11</xdr:col>
      <xdr:colOff>358140</xdr:colOff>
      <xdr:row>64</xdr:row>
      <xdr:rowOff>30480</xdr:rowOff>
    </xdr:to>
    <xdr:graphicFrame macro="">
      <xdr:nvGraphicFramePr>
        <xdr:cNvPr id="5" name="Chart 4">
          <a:extLst>
            <a:ext uri="{FF2B5EF4-FFF2-40B4-BE49-F238E27FC236}">
              <a16:creationId xmlns:a16="http://schemas.microsoft.com/office/drawing/2014/main" id="{1D67C95C-9F1F-EB1F-CD1A-2A8026A3D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251460</xdr:colOff>
      <xdr:row>64</xdr:row>
      <xdr:rowOff>125730</xdr:rowOff>
    </xdr:from>
    <xdr:to>
      <xdr:col>9</xdr:col>
      <xdr:colOff>556260</xdr:colOff>
      <xdr:row>79</xdr:row>
      <xdr:rowOff>125730</xdr:rowOff>
    </xdr:to>
    <xdr:graphicFrame macro="">
      <xdr:nvGraphicFramePr>
        <xdr:cNvPr id="7" name="Chart 6">
          <a:extLst>
            <a:ext uri="{FF2B5EF4-FFF2-40B4-BE49-F238E27FC236}">
              <a16:creationId xmlns:a16="http://schemas.microsoft.com/office/drawing/2014/main" id="{065EF760-3F54-ECBE-C292-0BCA816C4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251460</xdr:colOff>
      <xdr:row>83</xdr:row>
      <xdr:rowOff>125730</xdr:rowOff>
    </xdr:from>
    <xdr:to>
      <xdr:col>9</xdr:col>
      <xdr:colOff>556260</xdr:colOff>
      <xdr:row>98</xdr:row>
      <xdr:rowOff>125730</xdr:rowOff>
    </xdr:to>
    <xdr:graphicFrame macro="">
      <xdr:nvGraphicFramePr>
        <xdr:cNvPr id="8" name="Chart 7">
          <a:extLst>
            <a:ext uri="{FF2B5EF4-FFF2-40B4-BE49-F238E27FC236}">
              <a16:creationId xmlns:a16="http://schemas.microsoft.com/office/drawing/2014/main" id="{1D387514-E8F8-5C5A-9514-EE747E5D9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309966</xdr:colOff>
      <xdr:row>3</xdr:row>
      <xdr:rowOff>41679</xdr:rowOff>
    </xdr:from>
    <xdr:to>
      <xdr:col>4</xdr:col>
      <xdr:colOff>604983</xdr:colOff>
      <xdr:row>8</xdr:row>
      <xdr:rowOff>52679</xdr:rowOff>
    </xdr:to>
    <xdr:sp macro="" textlink="">
      <xdr:nvSpPr>
        <xdr:cNvPr id="16" name="Rectangle: Rounded Corners 15">
          <a:extLst>
            <a:ext uri="{FF2B5EF4-FFF2-40B4-BE49-F238E27FC236}">
              <a16:creationId xmlns:a16="http://schemas.microsoft.com/office/drawing/2014/main" id="{F3B397F7-9B5B-55CE-098F-C0C12A188126}"/>
            </a:ext>
          </a:extLst>
        </xdr:cNvPr>
        <xdr:cNvSpPr/>
      </xdr:nvSpPr>
      <xdr:spPr>
        <a:xfrm>
          <a:off x="309966" y="584120"/>
          <a:ext cx="2723085" cy="915067"/>
        </a:xfrm>
        <a:prstGeom prst="roundRect">
          <a:avLst/>
        </a:prstGeom>
        <a:solidFill>
          <a:srgbClr val="0A1837"/>
        </a:solidFill>
        <a:ln w="19050">
          <a:solidFill>
            <a:srgbClr val="0A1837"/>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1400">
              <a:latin typeface="Bahnschrift SemiBold" panose="020B0502040204020203" pitchFamily="34" charset="0"/>
            </a:rPr>
            <a:t>TOTAL REVENUE</a:t>
          </a:r>
        </a:p>
        <a:p>
          <a:pPr algn="l"/>
          <a:endParaRPr lang="en-US" sz="1400">
            <a:latin typeface="Bahnschrift SemiBold" panose="020B0502040204020203" pitchFamily="34" charset="0"/>
          </a:endParaRPr>
        </a:p>
        <a:p>
          <a:pPr algn="l"/>
          <a:r>
            <a:rPr lang="en-US" sz="1400">
              <a:latin typeface="Bahnschrift SemiBold" panose="020B0502040204020203" pitchFamily="34" charset="0"/>
            </a:rPr>
            <a:t>               </a:t>
          </a:r>
        </a:p>
      </xdr:txBody>
    </xdr:sp>
    <xdr:clientData/>
  </xdr:twoCellAnchor>
  <xdr:twoCellAnchor>
    <xdr:from>
      <xdr:col>7</xdr:col>
      <xdr:colOff>506832</xdr:colOff>
      <xdr:row>0</xdr:row>
      <xdr:rowOff>149135</xdr:rowOff>
    </xdr:from>
    <xdr:to>
      <xdr:col>18</xdr:col>
      <xdr:colOff>546746</xdr:colOff>
      <xdr:row>3</xdr:row>
      <xdr:rowOff>1</xdr:rowOff>
    </xdr:to>
    <xdr:sp macro="" textlink="">
      <xdr:nvSpPr>
        <xdr:cNvPr id="2" name="TextBox 1">
          <a:extLst>
            <a:ext uri="{FF2B5EF4-FFF2-40B4-BE49-F238E27FC236}">
              <a16:creationId xmlns:a16="http://schemas.microsoft.com/office/drawing/2014/main" id="{A3CCC1F0-2D7F-BAD3-CA56-7741989EC126}"/>
            </a:ext>
          </a:extLst>
        </xdr:cNvPr>
        <xdr:cNvSpPr txBox="1"/>
      </xdr:nvSpPr>
      <xdr:spPr>
        <a:xfrm>
          <a:off x="4755951" y="149135"/>
          <a:ext cx="6717100" cy="393307"/>
        </a:xfrm>
        <a:prstGeom prst="rect">
          <a:avLst/>
        </a:prstGeom>
        <a:solidFill>
          <a:srgbClr val="0D254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400">
              <a:solidFill>
                <a:schemeClr val="accent5">
                  <a:lumMod val="75000"/>
                </a:schemeClr>
              </a:solidFill>
              <a:latin typeface="Franklin Gothic Heavy" panose="020B0903020102020204" pitchFamily="34" charset="0"/>
              <a:ea typeface="Segoe UI Black" panose="020B0A02040204020203" pitchFamily="34" charset="0"/>
            </a:rPr>
            <a:t>              </a:t>
          </a:r>
          <a:r>
            <a:rPr lang="en-SG" sz="2400">
              <a:solidFill>
                <a:schemeClr val="accent5">
                  <a:lumMod val="75000"/>
                </a:schemeClr>
              </a:solidFill>
              <a:effectLst>
                <a:glow rad="38100">
                  <a:schemeClr val="accent1">
                    <a:alpha val="50000"/>
                  </a:schemeClr>
                </a:glow>
              </a:effectLst>
              <a:latin typeface="Franklin Gothic Heavy" panose="020B0903020102020204" pitchFamily="34" charset="0"/>
              <a:ea typeface="Segoe UI Black" panose="020B0A02040204020203" pitchFamily="34" charset="0"/>
            </a:rPr>
            <a:t>E-COMMERCE</a:t>
          </a:r>
          <a:r>
            <a:rPr lang="en-SG" sz="2400">
              <a:solidFill>
                <a:schemeClr val="accent5">
                  <a:lumMod val="75000"/>
                </a:schemeClr>
              </a:solidFill>
              <a:latin typeface="Franklin Gothic Heavy" panose="020B0903020102020204" pitchFamily="34" charset="0"/>
              <a:ea typeface="Segoe UI Black" panose="020B0A02040204020203" pitchFamily="34" charset="0"/>
            </a:rPr>
            <a:t> </a:t>
          </a:r>
          <a:r>
            <a:rPr lang="en-SG" sz="2400">
              <a:solidFill>
                <a:schemeClr val="accent5">
                  <a:lumMod val="75000"/>
                </a:schemeClr>
              </a:solidFill>
              <a:effectLst>
                <a:glow rad="38100">
                  <a:schemeClr val="accent1">
                    <a:alpha val="50000"/>
                  </a:schemeClr>
                </a:glow>
              </a:effectLst>
              <a:latin typeface="Franklin Gothic Heavy" panose="020B0903020102020204" pitchFamily="34" charset="0"/>
              <a:ea typeface="Segoe UI Black" panose="020B0A02040204020203" pitchFamily="34" charset="0"/>
            </a:rPr>
            <a:t>SALES DASHBOARD </a:t>
          </a:r>
        </a:p>
      </xdr:txBody>
    </xdr:sp>
    <xdr:clientData/>
  </xdr:twoCellAnchor>
  <xdr:twoCellAnchor editAs="oneCell">
    <xdr:from>
      <xdr:col>0</xdr:col>
      <xdr:colOff>193051</xdr:colOff>
      <xdr:row>9</xdr:row>
      <xdr:rowOff>134982</xdr:rowOff>
    </xdr:from>
    <xdr:to>
      <xdr:col>2</xdr:col>
      <xdr:colOff>147602</xdr:colOff>
      <xdr:row>18</xdr:row>
      <xdr:rowOff>101599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613A58D-EB2B-4321-984B-00B6645269A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051" y="1794176"/>
              <a:ext cx="1183583" cy="162581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175361</xdr:colOff>
      <xdr:row>19</xdr:row>
      <xdr:rowOff>92801</xdr:rowOff>
    </xdr:from>
    <xdr:to>
      <xdr:col>2</xdr:col>
      <xdr:colOff>158488</xdr:colOff>
      <xdr:row>28</xdr:row>
      <xdr:rowOff>65315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01150658-2824-4FA4-8FCC-2F1312D1228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5361" y="3595543"/>
              <a:ext cx="1212159" cy="163170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158489</xdr:colOff>
      <xdr:row>29</xdr:row>
      <xdr:rowOff>141515</xdr:rowOff>
    </xdr:from>
    <xdr:to>
      <xdr:col>2</xdr:col>
      <xdr:colOff>180261</xdr:colOff>
      <xdr:row>39</xdr:row>
      <xdr:rowOff>63500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986E918-BBEE-47AF-B7FC-E0C4858BD4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489" y="5487805"/>
              <a:ext cx="1250804" cy="176553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553073</xdr:colOff>
      <xdr:row>4</xdr:row>
      <xdr:rowOff>137323</xdr:rowOff>
    </xdr:from>
    <xdr:to>
      <xdr:col>1</xdr:col>
      <xdr:colOff>325073</xdr:colOff>
      <xdr:row>6</xdr:row>
      <xdr:rowOff>173952</xdr:rowOff>
    </xdr:to>
    <xdr:sp macro="" textlink="">
      <xdr:nvSpPr>
        <xdr:cNvPr id="18" name="Oval 17">
          <a:extLst>
            <a:ext uri="{FF2B5EF4-FFF2-40B4-BE49-F238E27FC236}">
              <a16:creationId xmlns:a16="http://schemas.microsoft.com/office/drawing/2014/main" id="{012F0A23-9614-0E6E-FE1B-A70B90358F2B}"/>
            </a:ext>
          </a:extLst>
        </xdr:cNvPr>
        <xdr:cNvSpPr/>
      </xdr:nvSpPr>
      <xdr:spPr>
        <a:xfrm>
          <a:off x="553073" y="860577"/>
          <a:ext cx="379017" cy="39825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SG" sz="1600"/>
            <a:t>₹</a:t>
          </a:r>
        </a:p>
      </xdr:txBody>
    </xdr:sp>
    <xdr:clientData/>
  </xdr:twoCellAnchor>
  <xdr:twoCellAnchor>
    <xdr:from>
      <xdr:col>2</xdr:col>
      <xdr:colOff>118473</xdr:colOff>
      <xdr:row>9</xdr:row>
      <xdr:rowOff>89118</xdr:rowOff>
    </xdr:from>
    <xdr:to>
      <xdr:col>10</xdr:col>
      <xdr:colOff>74931</xdr:colOff>
      <xdr:row>23</xdr:row>
      <xdr:rowOff>176203</xdr:rowOff>
    </xdr:to>
    <xdr:graphicFrame macro="">
      <xdr:nvGraphicFramePr>
        <xdr:cNvPr id="3" name="Chart 2">
          <a:extLst>
            <a:ext uri="{FF2B5EF4-FFF2-40B4-BE49-F238E27FC236}">
              <a16:creationId xmlns:a16="http://schemas.microsoft.com/office/drawing/2014/main" id="{9181EB6B-78F7-4CD5-B9DA-CCE934997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435060</xdr:colOff>
      <xdr:row>9</xdr:row>
      <xdr:rowOff>104060</xdr:rowOff>
    </xdr:from>
    <xdr:to>
      <xdr:col>18</xdr:col>
      <xdr:colOff>395643</xdr:colOff>
      <xdr:row>24</xdr:row>
      <xdr:rowOff>11647</xdr:rowOff>
    </xdr:to>
    <xdr:graphicFrame macro="">
      <xdr:nvGraphicFramePr>
        <xdr:cNvPr id="15" name="Chart 14">
          <a:extLst>
            <a:ext uri="{FF2B5EF4-FFF2-40B4-BE49-F238E27FC236}">
              <a16:creationId xmlns:a16="http://schemas.microsoft.com/office/drawing/2014/main" id="{44110F31-1941-4D39-8B09-A5DD813DD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9</xdr:row>
      <xdr:rowOff>101447</xdr:rowOff>
    </xdr:from>
    <xdr:to>
      <xdr:col>27</xdr:col>
      <xdr:colOff>187062</xdr:colOff>
      <xdr:row>24</xdr:row>
      <xdr:rowOff>49161</xdr:rowOff>
    </xdr:to>
    <xdr:graphicFrame macro="">
      <xdr:nvGraphicFramePr>
        <xdr:cNvPr id="17" name="Chart 16">
          <a:extLst>
            <a:ext uri="{FF2B5EF4-FFF2-40B4-BE49-F238E27FC236}">
              <a16:creationId xmlns:a16="http://schemas.microsoft.com/office/drawing/2014/main" id="{46595822-6D19-4C8B-A6FC-2D85D9F00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198751</xdr:colOff>
      <xdr:row>24</xdr:row>
      <xdr:rowOff>99251</xdr:rowOff>
    </xdr:from>
    <xdr:to>
      <xdr:col>11</xdr:col>
      <xdr:colOff>154985</xdr:colOff>
      <xdr:row>39</xdr:row>
      <xdr:rowOff>77491</xdr:rowOff>
    </xdr:to>
    <xdr:graphicFrame macro="">
      <xdr:nvGraphicFramePr>
        <xdr:cNvPr id="22" name="Chart 21">
          <a:extLst>
            <a:ext uri="{FF2B5EF4-FFF2-40B4-BE49-F238E27FC236}">
              <a16:creationId xmlns:a16="http://schemas.microsoft.com/office/drawing/2014/main" id="{24211945-7986-42AD-AFD3-97C09244C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77493</xdr:colOff>
      <xdr:row>25</xdr:row>
      <xdr:rowOff>103320</xdr:rowOff>
    </xdr:from>
    <xdr:to>
      <xdr:col>19</xdr:col>
      <xdr:colOff>38747</xdr:colOff>
      <xdr:row>39</xdr:row>
      <xdr:rowOff>154981</xdr:rowOff>
    </xdr:to>
    <xdr:graphicFrame macro="">
      <xdr:nvGraphicFramePr>
        <xdr:cNvPr id="23" name="Chart 22">
          <a:extLst>
            <a:ext uri="{FF2B5EF4-FFF2-40B4-BE49-F238E27FC236}">
              <a16:creationId xmlns:a16="http://schemas.microsoft.com/office/drawing/2014/main" id="{A4C42F1E-7CF9-4ECA-8F88-C77982E1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82289</xdr:colOff>
      <xdr:row>25</xdr:row>
      <xdr:rowOff>34686</xdr:rowOff>
    </xdr:from>
    <xdr:to>
      <xdr:col>27</xdr:col>
      <xdr:colOff>40289</xdr:colOff>
      <xdr:row>39</xdr:row>
      <xdr:rowOff>123086</xdr:rowOff>
    </xdr:to>
    <xdr:graphicFrame macro="">
      <xdr:nvGraphicFramePr>
        <xdr:cNvPr id="24" name="Chart 23">
          <a:extLst>
            <a:ext uri="{FF2B5EF4-FFF2-40B4-BE49-F238E27FC236}">
              <a16:creationId xmlns:a16="http://schemas.microsoft.com/office/drawing/2014/main" id="{59FCE80A-DB9F-4838-9EB2-9F16CF4B4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218572</xdr:colOff>
      <xdr:row>38</xdr:row>
      <xdr:rowOff>135194</xdr:rowOff>
    </xdr:from>
    <xdr:to>
      <xdr:col>28</xdr:col>
      <xdr:colOff>258096</xdr:colOff>
      <xdr:row>42</xdr:row>
      <xdr:rowOff>24581</xdr:rowOff>
    </xdr:to>
    <xdr:sp macro="" textlink="">
      <xdr:nvSpPr>
        <xdr:cNvPr id="26" name="TextBox 25">
          <a:extLst>
            <a:ext uri="{FF2B5EF4-FFF2-40B4-BE49-F238E27FC236}">
              <a16:creationId xmlns:a16="http://schemas.microsoft.com/office/drawing/2014/main" id="{D0DE0055-9593-F34B-9018-810EA88738E5}"/>
            </a:ext>
          </a:extLst>
        </xdr:cNvPr>
        <xdr:cNvSpPr txBox="1"/>
      </xdr:nvSpPr>
      <xdr:spPr>
        <a:xfrm>
          <a:off x="13737927" y="7140678"/>
          <a:ext cx="3726621" cy="626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400">
              <a:solidFill>
                <a:schemeClr val="bg2">
                  <a:lumMod val="90000"/>
                </a:schemeClr>
              </a:solidFill>
              <a:latin typeface="+mn-lt"/>
            </a:rPr>
            <a:t>Note :</a:t>
          </a:r>
          <a:r>
            <a:rPr lang="en-SG" sz="1400" baseline="0">
              <a:solidFill>
                <a:schemeClr val="bg2">
                  <a:lumMod val="90000"/>
                </a:schemeClr>
              </a:solidFill>
              <a:latin typeface="+mn-lt"/>
            </a:rPr>
            <a:t> R</a:t>
          </a:r>
          <a:r>
            <a:rPr lang="en-SG" sz="1400">
              <a:solidFill>
                <a:schemeClr val="bg2">
                  <a:lumMod val="90000"/>
                </a:schemeClr>
              </a:solidFill>
              <a:latin typeface="+mn-lt"/>
            </a:rPr>
            <a:t>evenue values are</a:t>
          </a:r>
          <a:r>
            <a:rPr lang="en-SG" sz="1400" baseline="0">
              <a:solidFill>
                <a:schemeClr val="bg2">
                  <a:lumMod val="90000"/>
                </a:schemeClr>
              </a:solidFill>
              <a:latin typeface="+mn-lt"/>
            </a:rPr>
            <a:t> diplayed</a:t>
          </a:r>
          <a:r>
            <a:rPr lang="en-SG" sz="1400">
              <a:solidFill>
                <a:schemeClr val="bg2">
                  <a:lumMod val="90000"/>
                </a:schemeClr>
              </a:solidFill>
              <a:latin typeface="+mn-lt"/>
            </a:rPr>
            <a:t> in ₹ million(M).</a:t>
          </a:r>
        </a:p>
      </xdr:txBody>
    </xdr:sp>
    <xdr:clientData/>
  </xdr:twoCellAnchor>
  <xdr:twoCellAnchor>
    <xdr:from>
      <xdr:col>1</xdr:col>
      <xdr:colOff>400373</xdr:colOff>
      <xdr:row>5</xdr:row>
      <xdr:rowOff>116236</xdr:rowOff>
    </xdr:from>
    <xdr:to>
      <xdr:col>4</xdr:col>
      <xdr:colOff>193728</xdr:colOff>
      <xdr:row>7</xdr:row>
      <xdr:rowOff>51660</xdr:rowOff>
    </xdr:to>
    <xdr:sp macro="" textlink="Sheet1!$N$50">
      <xdr:nvSpPr>
        <xdr:cNvPr id="11" name="TextBox 10">
          <a:extLst>
            <a:ext uri="{FF2B5EF4-FFF2-40B4-BE49-F238E27FC236}">
              <a16:creationId xmlns:a16="http://schemas.microsoft.com/office/drawing/2014/main" id="{7930DBC1-A3C9-ECBA-AC0B-5F8ACF1A0C53}"/>
            </a:ext>
          </a:extLst>
        </xdr:cNvPr>
        <xdr:cNvSpPr txBox="1"/>
      </xdr:nvSpPr>
      <xdr:spPr>
        <a:xfrm>
          <a:off x="1007390" y="1020304"/>
          <a:ext cx="1614406" cy="29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bg1"/>
              </a:solidFill>
              <a:latin typeface="Bahnschrift SemiBold" panose="020B0502040204020203" pitchFamily="34" charset="0"/>
              <a:ea typeface="Calibri"/>
              <a:cs typeface="Calibri"/>
            </a:rPr>
            <a:t>    </a:t>
          </a:r>
          <a:r>
            <a:rPr lang="en-SG" sz="1400" b="0" i="0" u="none" strike="noStrike">
              <a:ln>
                <a:noFill/>
              </a:ln>
              <a:solidFill>
                <a:schemeClr val="bg1"/>
              </a:solidFill>
              <a:latin typeface="Bahnschrift SemiBold" panose="020B0502040204020203" pitchFamily="34" charset="0"/>
              <a:ea typeface="Calibri"/>
              <a:cs typeface="Calibri"/>
            </a:rPr>
            <a:t>₹</a:t>
          </a:r>
          <a:fld id="{EA58669C-9A7C-42EB-B7E4-18ADA93DA212}" type="TxLink">
            <a:rPr lang="en-US" sz="1400" b="0" i="0" u="none" strike="noStrike">
              <a:ln>
                <a:noFill/>
              </a:ln>
              <a:solidFill>
                <a:schemeClr val="bg1"/>
              </a:solidFill>
              <a:latin typeface="Bahnschrift SemiBold" panose="020B0502040204020203" pitchFamily="34" charset="0"/>
              <a:ea typeface="Calibri"/>
              <a:cs typeface="Calibri"/>
            </a:rPr>
            <a:pPr/>
            <a:t>27.62M</a:t>
          </a:fld>
          <a:endParaRPr lang="en-US" sz="1400">
            <a:ln>
              <a:noFill/>
            </a:ln>
            <a:solidFill>
              <a:schemeClr val="bg1"/>
            </a:solidFill>
            <a:latin typeface="Bahnschrift SemiBold" panose="020B0502040204020203" pitchFamily="34" charset="0"/>
          </a:endParaRPr>
        </a:p>
      </xdr:txBody>
    </xdr:sp>
    <xdr:clientData/>
  </xdr:twoCellAnchor>
  <xdr:twoCellAnchor>
    <xdr:from>
      <xdr:col>5</xdr:col>
      <xdr:colOff>585492</xdr:colOff>
      <xdr:row>3</xdr:row>
      <xdr:rowOff>72755</xdr:rowOff>
    </xdr:from>
    <xdr:to>
      <xdr:col>10</xdr:col>
      <xdr:colOff>273493</xdr:colOff>
      <xdr:row>8</xdr:row>
      <xdr:rowOff>83755</xdr:rowOff>
    </xdr:to>
    <xdr:sp macro="" textlink="">
      <xdr:nvSpPr>
        <xdr:cNvPr id="14" name="Rectangle: Rounded Corners 13">
          <a:extLst>
            <a:ext uri="{FF2B5EF4-FFF2-40B4-BE49-F238E27FC236}">
              <a16:creationId xmlns:a16="http://schemas.microsoft.com/office/drawing/2014/main" id="{7A949508-33C3-9054-0512-C9D3905F49E1}"/>
            </a:ext>
          </a:extLst>
        </xdr:cNvPr>
        <xdr:cNvSpPr/>
      </xdr:nvSpPr>
      <xdr:spPr>
        <a:xfrm>
          <a:off x="3620577" y="615196"/>
          <a:ext cx="2723085" cy="915067"/>
        </a:xfrm>
        <a:prstGeom prst="roundRect">
          <a:avLst/>
        </a:prstGeom>
        <a:solidFill>
          <a:srgbClr val="0A1837"/>
        </a:solidFill>
        <a:ln w="19050">
          <a:solidFill>
            <a:srgbClr val="0A1837"/>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400">
              <a:latin typeface="Bahnschrift SemiBold" panose="020B0502040204020203" pitchFamily="34" charset="0"/>
            </a:rPr>
            <a:t>            TOTAL</a:t>
          </a:r>
          <a:r>
            <a:rPr lang="en-SG" sz="1400" baseline="0">
              <a:latin typeface="Bahnschrift SemiBold" panose="020B0502040204020203" pitchFamily="34" charset="0"/>
            </a:rPr>
            <a:t> QUANTITY SOLD</a:t>
          </a:r>
        </a:p>
        <a:p>
          <a:pPr algn="l"/>
          <a:endParaRPr lang="en-SG" sz="1400" baseline="0">
            <a:latin typeface="Bahnschrift SemiBold" panose="020B0502040204020203" pitchFamily="34" charset="0"/>
          </a:endParaRPr>
        </a:p>
        <a:p>
          <a:pPr algn="l"/>
          <a:r>
            <a:rPr lang="en-SG" sz="1400" baseline="0">
              <a:latin typeface="Bahnschrift SemiBold" panose="020B0502040204020203" pitchFamily="34" charset="0"/>
            </a:rPr>
            <a:t>                    </a:t>
          </a:r>
          <a:endParaRPr lang="en-SG" sz="1400">
            <a:latin typeface="Bahnschrift SemiBold" panose="020B0502040204020203" pitchFamily="34" charset="0"/>
          </a:endParaRPr>
        </a:p>
      </xdr:txBody>
    </xdr:sp>
    <xdr:clientData/>
  </xdr:twoCellAnchor>
  <xdr:twoCellAnchor>
    <xdr:from>
      <xdr:col>7</xdr:col>
      <xdr:colOff>490779</xdr:colOff>
      <xdr:row>5</xdr:row>
      <xdr:rowOff>154981</xdr:rowOff>
    </xdr:from>
    <xdr:to>
      <xdr:col>9</xdr:col>
      <xdr:colOff>542441</xdr:colOff>
      <xdr:row>7</xdr:row>
      <xdr:rowOff>142065</xdr:rowOff>
    </xdr:to>
    <xdr:sp macro="" textlink="Sheet1!$K$69">
      <xdr:nvSpPr>
        <xdr:cNvPr id="27" name="TextBox 26">
          <a:extLst>
            <a:ext uri="{FF2B5EF4-FFF2-40B4-BE49-F238E27FC236}">
              <a16:creationId xmlns:a16="http://schemas.microsoft.com/office/drawing/2014/main" id="{002122C7-A36E-7A43-E8F5-EEACD74F6F6E}"/>
            </a:ext>
          </a:extLst>
        </xdr:cNvPr>
        <xdr:cNvSpPr txBox="1"/>
      </xdr:nvSpPr>
      <xdr:spPr>
        <a:xfrm>
          <a:off x="4739898" y="1059049"/>
          <a:ext cx="1265696" cy="34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ABAAA1-D447-45DD-A63C-51E416019533}" type="TxLink">
            <a:rPr lang="en-US" sz="1400" b="0" i="0" u="none" strike="noStrike">
              <a:ln>
                <a:noFill/>
              </a:ln>
              <a:solidFill>
                <a:schemeClr val="bg1"/>
              </a:solidFill>
              <a:latin typeface="Bahnschrift SemiBold" panose="020B0502040204020203" pitchFamily="34" charset="0"/>
              <a:ea typeface="Calibri"/>
              <a:cs typeface="Calibri"/>
            </a:rPr>
            <a:pPr/>
            <a:t>3035</a:t>
          </a:fld>
          <a:endParaRPr lang="en-SG" sz="1400">
            <a:ln>
              <a:noFill/>
            </a:ln>
            <a:solidFill>
              <a:schemeClr val="bg1"/>
            </a:solidFill>
            <a:latin typeface="Bahnschrift SemiBold" panose="020B0502040204020203" pitchFamily="34" charset="0"/>
          </a:endParaRPr>
        </a:p>
      </xdr:txBody>
    </xdr:sp>
    <xdr:clientData/>
  </xdr:twoCellAnchor>
  <xdr:twoCellAnchor>
    <xdr:from>
      <xdr:col>6</xdr:col>
      <xdr:colOff>248467</xdr:colOff>
      <xdr:row>4</xdr:row>
      <xdr:rowOff>180383</xdr:rowOff>
    </xdr:from>
    <xdr:to>
      <xdr:col>7</xdr:col>
      <xdr:colOff>23050</xdr:colOff>
      <xdr:row>7</xdr:row>
      <xdr:rowOff>43455</xdr:rowOff>
    </xdr:to>
    <xdr:sp macro="" textlink="">
      <xdr:nvSpPr>
        <xdr:cNvPr id="20" name="Oval 19">
          <a:extLst>
            <a:ext uri="{FF2B5EF4-FFF2-40B4-BE49-F238E27FC236}">
              <a16:creationId xmlns:a16="http://schemas.microsoft.com/office/drawing/2014/main" id="{4680E471-F958-32CC-AB18-F3EA53E651EF}"/>
            </a:ext>
          </a:extLst>
        </xdr:cNvPr>
        <xdr:cNvSpPr/>
      </xdr:nvSpPr>
      <xdr:spPr>
        <a:xfrm>
          <a:off x="3890569" y="903637"/>
          <a:ext cx="381600" cy="405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SG" sz="1100"/>
            <a:t>🗃️</a:t>
          </a:r>
        </a:p>
      </xdr:txBody>
    </xdr:sp>
    <xdr:clientData/>
  </xdr:twoCellAnchor>
  <xdr:twoCellAnchor>
    <xdr:from>
      <xdr:col>11</xdr:col>
      <xdr:colOff>167899</xdr:colOff>
      <xdr:row>3</xdr:row>
      <xdr:rowOff>90406</xdr:rowOff>
    </xdr:from>
    <xdr:to>
      <xdr:col>15</xdr:col>
      <xdr:colOff>465499</xdr:colOff>
      <xdr:row>8</xdr:row>
      <xdr:rowOff>101406</xdr:rowOff>
    </xdr:to>
    <xdr:sp macro="" textlink="">
      <xdr:nvSpPr>
        <xdr:cNvPr id="32" name="Rectangle: Rounded Corners 31">
          <a:extLst>
            <a:ext uri="{FF2B5EF4-FFF2-40B4-BE49-F238E27FC236}">
              <a16:creationId xmlns:a16="http://schemas.microsoft.com/office/drawing/2014/main" id="{50FFCB75-814B-4C90-90ED-164052099CB7}"/>
            </a:ext>
          </a:extLst>
        </xdr:cNvPr>
        <xdr:cNvSpPr/>
      </xdr:nvSpPr>
      <xdr:spPr>
        <a:xfrm>
          <a:off x="6845085" y="632847"/>
          <a:ext cx="2725668" cy="915067"/>
        </a:xfrm>
        <a:prstGeom prst="roundRect">
          <a:avLst/>
        </a:prstGeom>
        <a:solidFill>
          <a:srgbClr val="0A1837"/>
        </a:solidFill>
        <a:ln w="19050">
          <a:solidFill>
            <a:srgbClr val="0A1837"/>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400">
              <a:latin typeface="Bahnschrift SemiBold" panose="020B0502040204020203" pitchFamily="34" charset="0"/>
            </a:rPr>
            <a:t>                 TOTAL</a:t>
          </a:r>
          <a:r>
            <a:rPr lang="en-SG" sz="1400" baseline="0">
              <a:latin typeface="Bahnschrift SemiBold" panose="020B0502040204020203" pitchFamily="34" charset="0"/>
            </a:rPr>
            <a:t> ORDERS</a:t>
          </a:r>
        </a:p>
        <a:p>
          <a:pPr algn="l"/>
          <a:endParaRPr lang="en-SG" sz="1400" baseline="0">
            <a:latin typeface="Bahnschrift SemiBold" panose="020B0502040204020203" pitchFamily="34" charset="0"/>
          </a:endParaRPr>
        </a:p>
        <a:p>
          <a:pPr algn="l"/>
          <a:r>
            <a:rPr lang="en-SG" sz="1400" baseline="0">
              <a:latin typeface="Bahnschrift SemiBold" panose="020B0502040204020203" pitchFamily="34" charset="0"/>
            </a:rPr>
            <a:t>                          </a:t>
          </a:r>
          <a:endParaRPr lang="en-SG" sz="1400">
            <a:latin typeface="Bahnschrift SemiBold" panose="020B0502040204020203" pitchFamily="34" charset="0"/>
          </a:endParaRPr>
        </a:p>
      </xdr:txBody>
    </xdr:sp>
    <xdr:clientData/>
  </xdr:twoCellAnchor>
  <xdr:twoCellAnchor>
    <xdr:from>
      <xdr:col>13</xdr:col>
      <xdr:colOff>25832</xdr:colOff>
      <xdr:row>6</xdr:row>
      <xdr:rowOff>38746</xdr:rowOff>
    </xdr:from>
    <xdr:to>
      <xdr:col>14</xdr:col>
      <xdr:colOff>387457</xdr:colOff>
      <xdr:row>8</xdr:row>
      <xdr:rowOff>51661</xdr:rowOff>
    </xdr:to>
    <xdr:sp macro="" textlink="Sheet1!$M$59">
      <xdr:nvSpPr>
        <xdr:cNvPr id="33" name="TextBox 32">
          <a:extLst>
            <a:ext uri="{FF2B5EF4-FFF2-40B4-BE49-F238E27FC236}">
              <a16:creationId xmlns:a16="http://schemas.microsoft.com/office/drawing/2014/main" id="{8B651885-42FE-3047-FADD-61A2319C9B54}"/>
            </a:ext>
          </a:extLst>
        </xdr:cNvPr>
        <xdr:cNvSpPr txBox="1"/>
      </xdr:nvSpPr>
      <xdr:spPr>
        <a:xfrm>
          <a:off x="7917052" y="1123627"/>
          <a:ext cx="968642" cy="374542"/>
        </a:xfrm>
        <a:prstGeom prst="rect">
          <a:avLst/>
        </a:prstGeom>
        <a:solidFill>
          <a:srgbClr val="0A18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24972B-EE8A-41B7-A4B2-4745AF495749}" type="TxLink">
            <a:rPr lang="en-US" sz="1400" b="0" i="0" u="none" strike="noStrike">
              <a:ln>
                <a:noFill/>
              </a:ln>
              <a:solidFill>
                <a:schemeClr val="bg1"/>
              </a:solidFill>
              <a:latin typeface="Bahnschrift SemiBold" panose="020B0502040204020203" pitchFamily="34" charset="0"/>
              <a:ea typeface="Calibri"/>
              <a:cs typeface="Calibri"/>
            </a:rPr>
            <a:pPr/>
            <a:t>1000</a:t>
          </a:fld>
          <a:endParaRPr lang="en-SG" sz="1400">
            <a:ln>
              <a:noFill/>
            </a:ln>
            <a:solidFill>
              <a:schemeClr val="bg1"/>
            </a:solidFill>
            <a:latin typeface="Bahnschrift SemiBold" panose="020B0502040204020203" pitchFamily="34" charset="0"/>
          </a:endParaRPr>
        </a:p>
      </xdr:txBody>
    </xdr:sp>
    <xdr:clientData/>
  </xdr:twoCellAnchor>
  <xdr:twoCellAnchor>
    <xdr:from>
      <xdr:col>11</xdr:col>
      <xdr:colOff>443587</xdr:colOff>
      <xdr:row>4</xdr:row>
      <xdr:rowOff>169851</xdr:rowOff>
    </xdr:from>
    <xdr:to>
      <xdr:col>12</xdr:col>
      <xdr:colOff>214987</xdr:colOff>
      <xdr:row>7</xdr:row>
      <xdr:rowOff>27127</xdr:rowOff>
    </xdr:to>
    <xdr:sp macro="" textlink="">
      <xdr:nvSpPr>
        <xdr:cNvPr id="19" name="Oval 18">
          <a:extLst>
            <a:ext uri="{FF2B5EF4-FFF2-40B4-BE49-F238E27FC236}">
              <a16:creationId xmlns:a16="http://schemas.microsoft.com/office/drawing/2014/main" id="{5725FEBB-5606-1038-E45D-25BDDD79C864}"/>
            </a:ext>
          </a:extLst>
        </xdr:cNvPr>
        <xdr:cNvSpPr/>
      </xdr:nvSpPr>
      <xdr:spPr>
        <a:xfrm>
          <a:off x="7120773" y="893105"/>
          <a:ext cx="378417" cy="39971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SG" sz="1600"/>
            <a:t>👜</a:t>
          </a:r>
        </a:p>
      </xdr:txBody>
    </xdr:sp>
    <xdr:clientData/>
  </xdr:twoCellAnchor>
  <xdr:twoCellAnchor>
    <xdr:from>
      <xdr:col>16</xdr:col>
      <xdr:colOff>361628</xdr:colOff>
      <xdr:row>3</xdr:row>
      <xdr:rowOff>103322</xdr:rowOff>
    </xdr:from>
    <xdr:to>
      <xdr:col>21</xdr:col>
      <xdr:colOff>52211</xdr:colOff>
      <xdr:row>8</xdr:row>
      <xdr:rowOff>114322</xdr:rowOff>
    </xdr:to>
    <xdr:sp macro="" textlink="Dashboard!$AI$25">
      <xdr:nvSpPr>
        <xdr:cNvPr id="37" name="Rectangle: Rounded Corners 36">
          <a:extLst>
            <a:ext uri="{FF2B5EF4-FFF2-40B4-BE49-F238E27FC236}">
              <a16:creationId xmlns:a16="http://schemas.microsoft.com/office/drawing/2014/main" id="{150D449E-7383-4CD8-96C5-74F621D85412}"/>
            </a:ext>
          </a:extLst>
        </xdr:cNvPr>
        <xdr:cNvSpPr/>
      </xdr:nvSpPr>
      <xdr:spPr>
        <a:xfrm>
          <a:off x="10073899" y="645763"/>
          <a:ext cx="2725668" cy="915067"/>
        </a:xfrm>
        <a:prstGeom prst="roundRect">
          <a:avLst/>
        </a:prstGeom>
        <a:solidFill>
          <a:srgbClr val="0A1837"/>
        </a:solidFill>
        <a:ln w="19050">
          <a:solidFill>
            <a:srgbClr val="0A1837"/>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Bahnschrift SemiBold" panose="020B0502040204020203" pitchFamily="34" charset="0"/>
              <a:ea typeface="Calibri"/>
              <a:cs typeface="Calibri"/>
            </a:rPr>
            <a:t>            </a:t>
          </a:r>
          <a:r>
            <a:rPr lang="en-US" sz="1400" b="0" i="0" u="none" strike="noStrike">
              <a:solidFill>
                <a:schemeClr val="bg1"/>
              </a:solidFill>
              <a:latin typeface="Bahnschrift SemiBold" panose="020B0502040204020203" pitchFamily="34" charset="0"/>
              <a:ea typeface="Calibri"/>
              <a:cs typeface="Calibri"/>
            </a:rPr>
            <a:t>TOTAL</a:t>
          </a:r>
          <a:r>
            <a:rPr lang="en-US" sz="1400" b="0" i="0" u="none" strike="noStrike" baseline="0">
              <a:solidFill>
                <a:schemeClr val="bg1"/>
              </a:solidFill>
              <a:latin typeface="Bahnschrift SemiBold" panose="020B0502040204020203" pitchFamily="34" charset="0"/>
              <a:ea typeface="Calibri"/>
              <a:cs typeface="Calibri"/>
            </a:rPr>
            <a:t> CATEGORIES</a:t>
          </a:r>
          <a:endParaRPr lang="en-SG" sz="1400">
            <a:solidFill>
              <a:schemeClr val="bg1"/>
            </a:solidFill>
            <a:latin typeface="Bahnschrift SemiBold" panose="020B0502040204020203" pitchFamily="34" charset="0"/>
          </a:endParaRPr>
        </a:p>
      </xdr:txBody>
    </xdr:sp>
    <xdr:clientData/>
  </xdr:twoCellAnchor>
  <xdr:twoCellAnchor>
    <xdr:from>
      <xdr:col>18</xdr:col>
      <xdr:colOff>103321</xdr:colOff>
      <xdr:row>6</xdr:row>
      <xdr:rowOff>1</xdr:rowOff>
    </xdr:from>
    <xdr:to>
      <xdr:col>21</xdr:col>
      <xdr:colOff>38745</xdr:colOff>
      <xdr:row>8</xdr:row>
      <xdr:rowOff>64577</xdr:rowOff>
    </xdr:to>
    <xdr:sp macro="" textlink="Dashboard!$AI$25">
      <xdr:nvSpPr>
        <xdr:cNvPr id="36" name="TextBox 35">
          <a:extLst>
            <a:ext uri="{FF2B5EF4-FFF2-40B4-BE49-F238E27FC236}">
              <a16:creationId xmlns:a16="http://schemas.microsoft.com/office/drawing/2014/main" id="{A8B168F8-3CA4-7C8E-4E7F-F225E4DE0309}"/>
            </a:ext>
          </a:extLst>
        </xdr:cNvPr>
        <xdr:cNvSpPr txBox="1"/>
      </xdr:nvSpPr>
      <xdr:spPr>
        <a:xfrm>
          <a:off x="11029626" y="1084882"/>
          <a:ext cx="1756475" cy="426203"/>
        </a:xfrm>
        <a:prstGeom prst="rect">
          <a:avLst/>
        </a:prstGeom>
        <a:solidFill>
          <a:srgbClr val="0A18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18F474-8D0C-4F80-8050-FDB876A9132F}" type="TxLink">
            <a:rPr lang="en-US" sz="1400" b="0" i="0" u="none" strike="noStrike">
              <a:solidFill>
                <a:schemeClr val="bg1"/>
              </a:solidFill>
              <a:latin typeface="Bahnschrift SemiBold" panose="020B0502040204020203" pitchFamily="34" charset="0"/>
              <a:ea typeface="Calibri"/>
              <a:cs typeface="Calibri"/>
            </a:rPr>
            <a:pPr/>
            <a:t>5</a:t>
          </a:fld>
          <a:endParaRPr lang="en-SG" sz="1400">
            <a:solidFill>
              <a:schemeClr val="bg1"/>
            </a:solidFill>
            <a:latin typeface="Bahnschrift SemiBold" panose="020B0502040204020203" pitchFamily="34" charset="0"/>
          </a:endParaRPr>
        </a:p>
      </xdr:txBody>
    </xdr:sp>
    <xdr:clientData/>
  </xdr:twoCellAnchor>
  <xdr:twoCellAnchor>
    <xdr:from>
      <xdr:col>16</xdr:col>
      <xdr:colOff>533738</xdr:colOff>
      <xdr:row>4</xdr:row>
      <xdr:rowOff>165222</xdr:rowOff>
    </xdr:from>
    <xdr:to>
      <xdr:col>17</xdr:col>
      <xdr:colOff>305738</xdr:colOff>
      <xdr:row>7</xdr:row>
      <xdr:rowOff>28294</xdr:rowOff>
    </xdr:to>
    <xdr:sp macro="" textlink="">
      <xdr:nvSpPr>
        <xdr:cNvPr id="7" name="Oval 6">
          <a:extLst>
            <a:ext uri="{FF2B5EF4-FFF2-40B4-BE49-F238E27FC236}">
              <a16:creationId xmlns:a16="http://schemas.microsoft.com/office/drawing/2014/main" id="{5ADED2EB-7076-0D91-BDB0-F850D031C11C}"/>
            </a:ext>
          </a:extLst>
        </xdr:cNvPr>
        <xdr:cNvSpPr/>
      </xdr:nvSpPr>
      <xdr:spPr>
        <a:xfrm>
          <a:off x="10246009" y="888476"/>
          <a:ext cx="379017" cy="405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SG" sz="1600"/>
            <a:t>🏷️</a:t>
          </a:r>
        </a:p>
      </xdr:txBody>
    </xdr:sp>
    <xdr:clientData/>
  </xdr:twoCellAnchor>
  <xdr:twoCellAnchor>
    <xdr:from>
      <xdr:col>22</xdr:col>
      <xdr:colOff>77492</xdr:colOff>
      <xdr:row>3</xdr:row>
      <xdr:rowOff>116236</xdr:rowOff>
    </xdr:from>
    <xdr:to>
      <xdr:col>26</xdr:col>
      <xdr:colOff>372509</xdr:colOff>
      <xdr:row>8</xdr:row>
      <xdr:rowOff>127236</xdr:rowOff>
    </xdr:to>
    <xdr:sp macro="" textlink="">
      <xdr:nvSpPr>
        <xdr:cNvPr id="38" name="Rectangle: Rounded Corners 37">
          <a:extLst>
            <a:ext uri="{FF2B5EF4-FFF2-40B4-BE49-F238E27FC236}">
              <a16:creationId xmlns:a16="http://schemas.microsoft.com/office/drawing/2014/main" id="{74F92206-F0AD-4E6F-B138-85C94505983B}"/>
            </a:ext>
          </a:extLst>
        </xdr:cNvPr>
        <xdr:cNvSpPr/>
      </xdr:nvSpPr>
      <xdr:spPr>
        <a:xfrm>
          <a:off x="13431865" y="658677"/>
          <a:ext cx="2723085" cy="915067"/>
        </a:xfrm>
        <a:prstGeom prst="roundRect">
          <a:avLst/>
        </a:prstGeom>
        <a:solidFill>
          <a:srgbClr val="0A1837"/>
        </a:solidFill>
        <a:ln w="19050">
          <a:solidFill>
            <a:srgbClr val="0A1837"/>
          </a:solid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400">
              <a:latin typeface="Bahnschrift SemiBold" panose="020B0502040204020203" pitchFamily="34" charset="0"/>
            </a:rPr>
            <a:t>              TOP</a:t>
          </a:r>
          <a:r>
            <a:rPr lang="en-SG" sz="1400" baseline="0">
              <a:latin typeface="Bahnschrift SemiBold" panose="020B0502040204020203" pitchFamily="34" charset="0"/>
            </a:rPr>
            <a:t> REVENUE CITY</a:t>
          </a:r>
        </a:p>
        <a:p>
          <a:pPr algn="l"/>
          <a:endParaRPr lang="en-SG" sz="1400" baseline="0">
            <a:latin typeface="Bahnschrift SemiBold" panose="020B0502040204020203" pitchFamily="34" charset="0"/>
          </a:endParaRPr>
        </a:p>
        <a:p>
          <a:pPr algn="l"/>
          <a:r>
            <a:rPr lang="en-SG" sz="1400" baseline="0">
              <a:latin typeface="Bahnschrift SemiBold" panose="020B0502040204020203" pitchFamily="34" charset="0"/>
            </a:rPr>
            <a:t>                   </a:t>
          </a:r>
          <a:endParaRPr lang="en-SG" sz="1400">
            <a:latin typeface="Bahnschrift SemiBold" panose="020B0502040204020203" pitchFamily="34" charset="0"/>
          </a:endParaRPr>
        </a:p>
      </xdr:txBody>
    </xdr:sp>
    <xdr:clientData/>
  </xdr:twoCellAnchor>
  <xdr:twoCellAnchor>
    <xdr:from>
      <xdr:col>23</xdr:col>
      <xdr:colOff>439117</xdr:colOff>
      <xdr:row>6</xdr:row>
      <xdr:rowOff>1</xdr:rowOff>
    </xdr:from>
    <xdr:to>
      <xdr:col>26</xdr:col>
      <xdr:colOff>219559</xdr:colOff>
      <xdr:row>8</xdr:row>
      <xdr:rowOff>2</xdr:rowOff>
    </xdr:to>
    <xdr:sp macro="" textlink="Sheet1!$N$88">
      <xdr:nvSpPr>
        <xdr:cNvPr id="39" name="TextBox 38">
          <a:extLst>
            <a:ext uri="{FF2B5EF4-FFF2-40B4-BE49-F238E27FC236}">
              <a16:creationId xmlns:a16="http://schemas.microsoft.com/office/drawing/2014/main" id="{2FCFAEDE-06E4-4905-49E9-49DC9F30D36C}"/>
            </a:ext>
          </a:extLst>
        </xdr:cNvPr>
        <xdr:cNvSpPr txBox="1"/>
      </xdr:nvSpPr>
      <xdr:spPr>
        <a:xfrm>
          <a:off x="14400507" y="1084882"/>
          <a:ext cx="1601493" cy="361628"/>
        </a:xfrm>
        <a:prstGeom prst="rect">
          <a:avLst/>
        </a:prstGeom>
        <a:solidFill>
          <a:srgbClr val="0A18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590F98-EE36-46D0-AF4D-4F646B67D893}" type="TxLink">
            <a:rPr lang="en-US" sz="1400" b="0" i="0" u="none" strike="noStrike">
              <a:solidFill>
                <a:schemeClr val="bg1"/>
              </a:solidFill>
              <a:latin typeface="Bahnschrift SemiBold" panose="020B0502040204020203" pitchFamily="34" charset="0"/>
              <a:ea typeface="Calibri"/>
              <a:cs typeface="Calibri"/>
            </a:rPr>
            <a:pPr/>
            <a:t>Pune</a:t>
          </a:fld>
          <a:endParaRPr lang="en-SG" sz="1400">
            <a:solidFill>
              <a:schemeClr val="bg1"/>
            </a:solidFill>
            <a:latin typeface="Bahnschrift SemiBold" panose="020B0502040204020203" pitchFamily="34" charset="0"/>
          </a:endParaRPr>
        </a:p>
      </xdr:txBody>
    </xdr:sp>
    <xdr:clientData/>
  </xdr:twoCellAnchor>
  <xdr:twoCellAnchor>
    <xdr:from>
      <xdr:col>22</xdr:col>
      <xdr:colOff>363688</xdr:colOff>
      <xdr:row>5</xdr:row>
      <xdr:rowOff>18142</xdr:rowOff>
    </xdr:from>
    <xdr:to>
      <xdr:col>23</xdr:col>
      <xdr:colOff>135688</xdr:colOff>
      <xdr:row>7</xdr:row>
      <xdr:rowOff>62028</xdr:rowOff>
    </xdr:to>
    <xdr:sp macro="" textlink="">
      <xdr:nvSpPr>
        <xdr:cNvPr id="13" name="Oval 12">
          <a:extLst>
            <a:ext uri="{FF2B5EF4-FFF2-40B4-BE49-F238E27FC236}">
              <a16:creationId xmlns:a16="http://schemas.microsoft.com/office/drawing/2014/main" id="{7405E456-060B-8697-F5AE-95B2FD342951}"/>
            </a:ext>
          </a:extLst>
        </xdr:cNvPr>
        <xdr:cNvSpPr/>
      </xdr:nvSpPr>
      <xdr:spPr>
        <a:xfrm>
          <a:off x="13718061" y="922210"/>
          <a:ext cx="379017" cy="405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SG" sz="12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ida Ramachandran" refreshedDate="46202.046436805555" createdVersion="8" refreshedVersion="8" minRefreshableVersion="3" recordCount="1000" xr:uid="{7058022B-AFBF-4EF6-985A-A11E2255A29D}">
  <cacheSource type="worksheet">
    <worksheetSource name="Table1"/>
  </cacheSource>
  <cacheFields count="9">
    <cacheField name="Order_ID" numFmtId="0">
      <sharedItems/>
    </cacheField>
    <cacheField name="Product" numFmtId="0">
      <sharedItems count="14">
        <s v="Backpack"/>
        <s v="Keyboard"/>
        <s v="Book"/>
        <s v="Tablet"/>
        <s v="T-Shirt"/>
        <s v="Watch"/>
        <s v="Smartphone"/>
        <s v="Air Fryer"/>
        <s v="Mixer"/>
        <s v="Shoes"/>
        <s v="Jeans"/>
        <s v="Headphones"/>
        <s v="Coffee Maker"/>
        <s v="Laptop"/>
      </sharedItems>
    </cacheField>
    <cacheField name="Category" numFmtId="0">
      <sharedItems count="5">
        <s v="Accessories"/>
        <s v="Electronics"/>
        <s v="Books"/>
        <s v="Fashion"/>
        <s v="Home Appliances"/>
      </sharedItems>
    </cacheField>
    <cacheField name="Quantity" numFmtId="0">
      <sharedItems containsSemiMixedTypes="0" containsString="0" containsNumber="1" containsInteger="1" minValue="1" maxValue="5"/>
    </cacheField>
    <cacheField name="Price" numFmtId="164">
      <sharedItems containsSemiMixedTypes="0" containsString="0" containsNumber="1" minValue="407.43" maxValue="60347.51"/>
    </cacheField>
    <cacheField name="Revenue" numFmtId="164">
      <sharedItems containsSemiMixedTypes="0" containsString="0" containsNumber="1" minValue="410.56" maxValue="299643.45"/>
    </cacheField>
    <cacheField name="City" numFmtId="0">
      <sharedItems count="10">
        <s v="Hyderabad"/>
        <s v="Surat"/>
        <s v="Mumbai"/>
        <s v="Jaipur"/>
        <s v="Delhi"/>
        <s v="Bangalore"/>
        <s v="Pune"/>
        <s v="Ahmedabad"/>
        <s v="Chennai"/>
        <s v="Kolkata"/>
      </sharedItems>
    </cacheField>
    <cacheField name="Date" numFmtId="165">
      <sharedItems containsSemiMixedTypes="0" containsNonDate="0" containsDate="1" containsString="0" minDate="2026-01-01T00:00:00" maxDate="2026-06-30T00:00:00"/>
    </cacheField>
    <cacheField name="Month" numFmtId="0">
      <sharedItems count="6">
        <s v="Mar"/>
        <s v="Jan"/>
        <s v="Feb"/>
        <s v="May"/>
        <s v="Jun"/>
        <s v="Apr"/>
      </sharedItems>
    </cacheField>
  </cacheFields>
  <extLst>
    <ext xmlns:x14="http://schemas.microsoft.com/office/spreadsheetml/2009/9/main" uri="{725AE2AE-9491-48be-B2B4-4EB974FC3084}">
      <x14:pivotCacheDefinition pivotCacheId="618314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1"/>
    <x v="0"/>
    <x v="0"/>
    <n v="1"/>
    <n v="1629"/>
    <n v="1629"/>
    <x v="0"/>
    <d v="2026-03-04T00:00:00"/>
    <x v="0"/>
  </r>
  <r>
    <s v="ORD1002"/>
    <x v="1"/>
    <x v="1"/>
    <n v="2"/>
    <n v="1570.94"/>
    <n v="3141.88"/>
    <x v="1"/>
    <d v="2026-01-23T00:00:00"/>
    <x v="1"/>
  </r>
  <r>
    <s v="ORD1003"/>
    <x v="2"/>
    <x v="2"/>
    <n v="4"/>
    <n v="407.86"/>
    <n v="1631.44"/>
    <x v="2"/>
    <d v="2026-02-25T00:00:00"/>
    <x v="2"/>
  </r>
  <r>
    <s v="ORD1004"/>
    <x v="1"/>
    <x v="1"/>
    <n v="5"/>
    <n v="1530.61"/>
    <n v="7653.0499999999993"/>
    <x v="1"/>
    <d v="2026-02-20T00:00:00"/>
    <x v="2"/>
  </r>
  <r>
    <s v="ORD1005"/>
    <x v="3"/>
    <x v="1"/>
    <n v="5"/>
    <n v="27549.31"/>
    <n v="137746.55000000002"/>
    <x v="3"/>
    <d v="2026-05-31T00:00:00"/>
    <x v="3"/>
  </r>
  <r>
    <s v="ORD1006"/>
    <x v="4"/>
    <x v="3"/>
    <n v="1"/>
    <n v="840.36"/>
    <n v="840.36"/>
    <x v="4"/>
    <d v="2026-06-28T00:00:00"/>
    <x v="4"/>
  </r>
  <r>
    <s v="ORD1007"/>
    <x v="5"/>
    <x v="0"/>
    <n v="3"/>
    <n v="4776.92"/>
    <n v="14330.76"/>
    <x v="5"/>
    <d v="2026-03-28T00:00:00"/>
    <x v="0"/>
  </r>
  <r>
    <s v="ORD1008"/>
    <x v="6"/>
    <x v="1"/>
    <n v="1"/>
    <n v="17567.740000000002"/>
    <n v="17567.740000000002"/>
    <x v="6"/>
    <d v="2026-03-30T00:00:00"/>
    <x v="0"/>
  </r>
  <r>
    <s v="ORD1009"/>
    <x v="2"/>
    <x v="2"/>
    <n v="3"/>
    <n v="477.64"/>
    <n v="1432.92"/>
    <x v="3"/>
    <d v="2026-05-18T00:00:00"/>
    <x v="3"/>
  </r>
  <r>
    <s v="ORD1010"/>
    <x v="6"/>
    <x v="1"/>
    <n v="4"/>
    <n v="16483.68"/>
    <n v="65934.720000000001"/>
    <x v="0"/>
    <d v="2026-06-10T00:00:00"/>
    <x v="4"/>
  </r>
  <r>
    <s v="ORD1011"/>
    <x v="2"/>
    <x v="2"/>
    <n v="3"/>
    <n v="456.96"/>
    <n v="1370.8799999999999"/>
    <x v="2"/>
    <d v="2026-01-12T00:00:00"/>
    <x v="1"/>
  </r>
  <r>
    <s v="ORD1012"/>
    <x v="0"/>
    <x v="0"/>
    <n v="2"/>
    <n v="1898.3"/>
    <n v="3796.6"/>
    <x v="2"/>
    <d v="2026-03-01T00:00:00"/>
    <x v="0"/>
  </r>
  <r>
    <s v="ORD1013"/>
    <x v="7"/>
    <x v="4"/>
    <n v="1"/>
    <n v="6344.16"/>
    <n v="6344.16"/>
    <x v="3"/>
    <d v="2026-06-12T00:00:00"/>
    <x v="4"/>
  </r>
  <r>
    <s v="ORD1014"/>
    <x v="7"/>
    <x v="4"/>
    <n v="3"/>
    <n v="6061.45"/>
    <n v="18184.349999999999"/>
    <x v="6"/>
    <d v="2026-02-23T00:00:00"/>
    <x v="2"/>
  </r>
  <r>
    <s v="ORD1015"/>
    <x v="0"/>
    <x v="0"/>
    <n v="3"/>
    <n v="1872.66"/>
    <n v="5617.9800000000005"/>
    <x v="2"/>
    <d v="2026-06-05T00:00:00"/>
    <x v="4"/>
  </r>
  <r>
    <s v="ORD1016"/>
    <x v="0"/>
    <x v="0"/>
    <n v="2"/>
    <n v="1812.29"/>
    <n v="3624.58"/>
    <x v="5"/>
    <d v="2026-02-11T00:00:00"/>
    <x v="2"/>
  </r>
  <r>
    <s v="ORD1017"/>
    <x v="8"/>
    <x v="4"/>
    <n v="4"/>
    <n v="3338.96"/>
    <n v="13355.84"/>
    <x v="1"/>
    <d v="2026-02-26T00:00:00"/>
    <x v="2"/>
  </r>
  <r>
    <s v="ORD1018"/>
    <x v="0"/>
    <x v="0"/>
    <n v="3"/>
    <n v="1923.43"/>
    <n v="5770.29"/>
    <x v="7"/>
    <d v="2026-02-28T00:00:00"/>
    <x v="2"/>
  </r>
  <r>
    <s v="ORD1019"/>
    <x v="7"/>
    <x v="4"/>
    <n v="1"/>
    <n v="6896.56"/>
    <n v="6896.56"/>
    <x v="8"/>
    <d v="2026-03-10T00:00:00"/>
    <x v="0"/>
  </r>
  <r>
    <s v="ORD1020"/>
    <x v="6"/>
    <x v="1"/>
    <n v="2"/>
    <n v="19487.29"/>
    <n v="38974.58"/>
    <x v="9"/>
    <d v="2026-03-22T00:00:00"/>
    <x v="0"/>
  </r>
  <r>
    <s v="ORD1021"/>
    <x v="1"/>
    <x v="1"/>
    <n v="4"/>
    <n v="1468.69"/>
    <n v="5874.76"/>
    <x v="3"/>
    <d v="2026-02-06T00:00:00"/>
    <x v="2"/>
  </r>
  <r>
    <s v="ORD1022"/>
    <x v="4"/>
    <x v="3"/>
    <n v="2"/>
    <n v="758.51"/>
    <n v="1517.02"/>
    <x v="1"/>
    <d v="2026-05-18T00:00:00"/>
    <x v="3"/>
  </r>
  <r>
    <s v="ORD1023"/>
    <x v="4"/>
    <x v="3"/>
    <n v="5"/>
    <n v="787.56"/>
    <n v="3937.7999999999997"/>
    <x v="9"/>
    <d v="2026-04-13T00:00:00"/>
    <x v="5"/>
  </r>
  <r>
    <s v="ORD1024"/>
    <x v="9"/>
    <x v="3"/>
    <n v="2"/>
    <n v="2747.56"/>
    <n v="5495.12"/>
    <x v="4"/>
    <d v="2026-05-11T00:00:00"/>
    <x v="3"/>
  </r>
  <r>
    <s v="ORD1025"/>
    <x v="8"/>
    <x v="4"/>
    <n v="1"/>
    <n v="3679.05"/>
    <n v="3679.05"/>
    <x v="2"/>
    <d v="2026-02-09T00:00:00"/>
    <x v="2"/>
  </r>
  <r>
    <s v="ORD1026"/>
    <x v="0"/>
    <x v="0"/>
    <n v="2"/>
    <n v="1905.15"/>
    <n v="3810.3"/>
    <x v="8"/>
    <d v="2026-06-02T00:00:00"/>
    <x v="4"/>
  </r>
  <r>
    <s v="ORD1027"/>
    <x v="6"/>
    <x v="1"/>
    <n v="4"/>
    <n v="17573.830000000002"/>
    <n v="70295.320000000007"/>
    <x v="3"/>
    <d v="2026-05-16T00:00:00"/>
    <x v="3"/>
  </r>
  <r>
    <s v="ORD1028"/>
    <x v="4"/>
    <x v="3"/>
    <n v="5"/>
    <n v="856.65"/>
    <n v="4283.25"/>
    <x v="7"/>
    <d v="2026-06-24T00:00:00"/>
    <x v="4"/>
  </r>
  <r>
    <s v="ORD1029"/>
    <x v="3"/>
    <x v="1"/>
    <n v="1"/>
    <n v="29017.58"/>
    <n v="29017.58"/>
    <x v="1"/>
    <d v="2026-03-10T00:00:00"/>
    <x v="0"/>
  </r>
  <r>
    <s v="ORD1030"/>
    <x v="10"/>
    <x v="3"/>
    <n v="3"/>
    <n v="1843.7"/>
    <n v="5531.1"/>
    <x v="8"/>
    <d v="2026-02-10T00:00:00"/>
    <x v="2"/>
  </r>
  <r>
    <s v="ORD1031"/>
    <x v="8"/>
    <x v="4"/>
    <n v="1"/>
    <n v="3817.67"/>
    <n v="3817.67"/>
    <x v="0"/>
    <d v="2026-05-09T00:00:00"/>
    <x v="3"/>
  </r>
  <r>
    <s v="ORD1032"/>
    <x v="10"/>
    <x v="3"/>
    <n v="2"/>
    <n v="2002.07"/>
    <n v="4004.14"/>
    <x v="2"/>
    <d v="2026-06-10T00:00:00"/>
    <x v="4"/>
  </r>
  <r>
    <s v="ORD1033"/>
    <x v="4"/>
    <x v="3"/>
    <n v="5"/>
    <n v="816.41"/>
    <n v="4082.0499999999997"/>
    <x v="4"/>
    <d v="2026-04-06T00:00:00"/>
    <x v="5"/>
  </r>
  <r>
    <s v="ORD1034"/>
    <x v="10"/>
    <x v="3"/>
    <n v="2"/>
    <n v="2014.74"/>
    <n v="4029.48"/>
    <x v="1"/>
    <d v="2026-01-01T00:00:00"/>
    <x v="1"/>
  </r>
  <r>
    <s v="ORD1035"/>
    <x v="2"/>
    <x v="2"/>
    <n v="3"/>
    <n v="448.97"/>
    <n v="1346.91"/>
    <x v="2"/>
    <d v="2026-04-03T00:00:00"/>
    <x v="5"/>
  </r>
  <r>
    <s v="ORD1036"/>
    <x v="7"/>
    <x v="4"/>
    <n v="3"/>
    <n v="6161.29"/>
    <n v="18483.87"/>
    <x v="5"/>
    <d v="2026-05-26T00:00:00"/>
    <x v="3"/>
  </r>
  <r>
    <s v="ORD1037"/>
    <x v="6"/>
    <x v="1"/>
    <n v="1"/>
    <n v="18834.87"/>
    <n v="18834.87"/>
    <x v="2"/>
    <d v="2026-05-17T00:00:00"/>
    <x v="3"/>
  </r>
  <r>
    <s v="ORD1038"/>
    <x v="10"/>
    <x v="3"/>
    <n v="2"/>
    <n v="1850.43"/>
    <n v="3700.86"/>
    <x v="3"/>
    <d v="2026-05-21T00:00:00"/>
    <x v="3"/>
  </r>
  <r>
    <s v="ORD1039"/>
    <x v="11"/>
    <x v="1"/>
    <n v="3"/>
    <n v="2212.1799999999998"/>
    <n v="6636.5399999999991"/>
    <x v="9"/>
    <d v="2026-04-19T00:00:00"/>
    <x v="5"/>
  </r>
  <r>
    <s v="ORD1040"/>
    <x v="1"/>
    <x v="1"/>
    <n v="5"/>
    <n v="1576.58"/>
    <n v="7882.9"/>
    <x v="5"/>
    <d v="2026-03-21T00:00:00"/>
    <x v="0"/>
  </r>
  <r>
    <s v="ORD1041"/>
    <x v="5"/>
    <x v="0"/>
    <n v="3"/>
    <n v="4937.1099999999997"/>
    <n v="14811.329999999998"/>
    <x v="1"/>
    <d v="2026-04-26T00:00:00"/>
    <x v="5"/>
  </r>
  <r>
    <s v="ORD1042"/>
    <x v="6"/>
    <x v="1"/>
    <n v="2"/>
    <n v="17008.91"/>
    <n v="34017.82"/>
    <x v="6"/>
    <d v="2026-01-06T00:00:00"/>
    <x v="1"/>
  </r>
  <r>
    <s v="ORD1043"/>
    <x v="2"/>
    <x v="2"/>
    <n v="5"/>
    <n v="425.71"/>
    <n v="2128.5499999999997"/>
    <x v="5"/>
    <d v="2026-01-02T00:00:00"/>
    <x v="1"/>
  </r>
  <r>
    <s v="ORD1044"/>
    <x v="6"/>
    <x v="1"/>
    <n v="1"/>
    <n v="17024.189999999999"/>
    <n v="17024.189999999999"/>
    <x v="7"/>
    <d v="2026-03-26T00:00:00"/>
    <x v="0"/>
  </r>
  <r>
    <s v="ORD1045"/>
    <x v="6"/>
    <x v="1"/>
    <n v="5"/>
    <n v="17056.82"/>
    <n v="85284.1"/>
    <x v="3"/>
    <d v="2026-02-24T00:00:00"/>
    <x v="2"/>
  </r>
  <r>
    <s v="ORD1046"/>
    <x v="12"/>
    <x v="4"/>
    <n v="2"/>
    <n v="4387.62"/>
    <n v="8775.24"/>
    <x v="9"/>
    <d v="2026-05-28T00:00:00"/>
    <x v="3"/>
  </r>
  <r>
    <s v="ORD1047"/>
    <x v="8"/>
    <x v="4"/>
    <n v="2"/>
    <n v="3699.23"/>
    <n v="7398.46"/>
    <x v="8"/>
    <d v="2026-02-18T00:00:00"/>
    <x v="2"/>
  </r>
  <r>
    <s v="ORD1048"/>
    <x v="6"/>
    <x v="1"/>
    <n v="1"/>
    <n v="18572.34"/>
    <n v="18572.34"/>
    <x v="6"/>
    <d v="2026-04-19T00:00:00"/>
    <x v="5"/>
  </r>
  <r>
    <s v="ORD1049"/>
    <x v="5"/>
    <x v="0"/>
    <n v="4"/>
    <n v="5362.76"/>
    <n v="21451.040000000001"/>
    <x v="7"/>
    <d v="2026-06-22T00:00:00"/>
    <x v="4"/>
  </r>
  <r>
    <s v="ORD1050"/>
    <x v="0"/>
    <x v="0"/>
    <n v="1"/>
    <n v="1641.82"/>
    <n v="1641.82"/>
    <x v="6"/>
    <d v="2026-01-28T00:00:00"/>
    <x v="1"/>
  </r>
  <r>
    <s v="ORD1051"/>
    <x v="1"/>
    <x v="1"/>
    <n v="2"/>
    <n v="1407.06"/>
    <n v="2814.12"/>
    <x v="3"/>
    <d v="2026-02-05T00:00:00"/>
    <x v="2"/>
  </r>
  <r>
    <s v="ORD1052"/>
    <x v="5"/>
    <x v="0"/>
    <n v="2"/>
    <n v="4777.59"/>
    <n v="9555.18"/>
    <x v="5"/>
    <d v="2026-01-20T00:00:00"/>
    <x v="1"/>
  </r>
  <r>
    <s v="ORD1053"/>
    <x v="8"/>
    <x v="4"/>
    <n v="5"/>
    <n v="3218.54"/>
    <n v="16092.7"/>
    <x v="1"/>
    <d v="2026-01-04T00:00:00"/>
    <x v="1"/>
  </r>
  <r>
    <s v="ORD1054"/>
    <x v="6"/>
    <x v="1"/>
    <n v="2"/>
    <n v="16798.72"/>
    <n v="33597.440000000002"/>
    <x v="3"/>
    <d v="2026-05-04T00:00:00"/>
    <x v="3"/>
  </r>
  <r>
    <s v="ORD1055"/>
    <x v="1"/>
    <x v="1"/>
    <n v="4"/>
    <n v="1620.73"/>
    <n v="6482.92"/>
    <x v="4"/>
    <d v="2026-04-08T00:00:00"/>
    <x v="5"/>
  </r>
  <r>
    <s v="ORD1056"/>
    <x v="13"/>
    <x v="1"/>
    <n v="4"/>
    <n v="52417.23"/>
    <n v="209668.92"/>
    <x v="3"/>
    <d v="2026-03-15T00:00:00"/>
    <x v="0"/>
  </r>
  <r>
    <s v="ORD1057"/>
    <x v="5"/>
    <x v="0"/>
    <n v="5"/>
    <n v="5160.84"/>
    <n v="25804.2"/>
    <x v="3"/>
    <d v="2026-02-09T00:00:00"/>
    <x v="2"/>
  </r>
  <r>
    <s v="ORD1058"/>
    <x v="1"/>
    <x v="1"/>
    <n v="3"/>
    <n v="1415.31"/>
    <n v="4245.93"/>
    <x v="7"/>
    <d v="2026-05-29T00:00:00"/>
    <x v="3"/>
  </r>
  <r>
    <s v="ORD1059"/>
    <x v="3"/>
    <x v="1"/>
    <n v="5"/>
    <n v="25541.360000000001"/>
    <n v="127706.8"/>
    <x v="6"/>
    <d v="2026-01-15T00:00:00"/>
    <x v="1"/>
  </r>
  <r>
    <s v="ORD1060"/>
    <x v="13"/>
    <x v="1"/>
    <n v="5"/>
    <n v="54744.67"/>
    <n v="273723.34999999998"/>
    <x v="1"/>
    <d v="2026-02-10T00:00:00"/>
    <x v="2"/>
  </r>
  <r>
    <s v="ORD1061"/>
    <x v="13"/>
    <x v="1"/>
    <n v="5"/>
    <n v="50381.23"/>
    <n v="251906.15000000002"/>
    <x v="4"/>
    <d v="2026-01-18T00:00:00"/>
    <x v="1"/>
  </r>
  <r>
    <s v="ORD1062"/>
    <x v="2"/>
    <x v="2"/>
    <n v="1"/>
    <n v="465.77"/>
    <n v="465.77"/>
    <x v="5"/>
    <d v="2026-04-14T00:00:00"/>
    <x v="5"/>
  </r>
  <r>
    <s v="ORD1063"/>
    <x v="6"/>
    <x v="1"/>
    <n v="5"/>
    <n v="17086.38"/>
    <n v="85431.900000000009"/>
    <x v="9"/>
    <d v="2026-01-11T00:00:00"/>
    <x v="1"/>
  </r>
  <r>
    <s v="ORD1064"/>
    <x v="2"/>
    <x v="2"/>
    <n v="1"/>
    <n v="442.73"/>
    <n v="442.73"/>
    <x v="9"/>
    <d v="2026-05-25T00:00:00"/>
    <x v="3"/>
  </r>
  <r>
    <s v="ORD1065"/>
    <x v="12"/>
    <x v="4"/>
    <n v="3"/>
    <n v="4565.1499999999996"/>
    <n v="13695.449999999999"/>
    <x v="5"/>
    <d v="2026-06-21T00:00:00"/>
    <x v="4"/>
  </r>
  <r>
    <s v="ORD1066"/>
    <x v="3"/>
    <x v="1"/>
    <n v="3"/>
    <n v="26536.639999999999"/>
    <n v="79609.919999999998"/>
    <x v="8"/>
    <d v="2026-02-03T00:00:00"/>
    <x v="2"/>
  </r>
  <r>
    <s v="ORD1067"/>
    <x v="0"/>
    <x v="0"/>
    <n v="3"/>
    <n v="1784.6"/>
    <n v="5353.7999999999993"/>
    <x v="2"/>
    <d v="2026-01-03T00:00:00"/>
    <x v="1"/>
  </r>
  <r>
    <s v="ORD1068"/>
    <x v="8"/>
    <x v="4"/>
    <n v="5"/>
    <n v="3848.92"/>
    <n v="19244.599999999999"/>
    <x v="2"/>
    <d v="2026-01-19T00:00:00"/>
    <x v="1"/>
  </r>
  <r>
    <s v="ORD1069"/>
    <x v="12"/>
    <x v="4"/>
    <n v="2"/>
    <n v="4204.9399999999996"/>
    <n v="8409.8799999999992"/>
    <x v="4"/>
    <d v="2026-03-31T00:00:00"/>
    <x v="0"/>
  </r>
  <r>
    <s v="ORD1070"/>
    <x v="6"/>
    <x v="1"/>
    <n v="2"/>
    <n v="17530.3"/>
    <n v="35060.6"/>
    <x v="4"/>
    <d v="2026-04-23T00:00:00"/>
    <x v="5"/>
  </r>
  <r>
    <s v="ORD1071"/>
    <x v="7"/>
    <x v="4"/>
    <n v="5"/>
    <n v="6764.6"/>
    <n v="33823"/>
    <x v="9"/>
    <d v="2026-06-17T00:00:00"/>
    <x v="4"/>
  </r>
  <r>
    <s v="ORD1072"/>
    <x v="12"/>
    <x v="4"/>
    <n v="1"/>
    <n v="4341.01"/>
    <n v="4341.01"/>
    <x v="1"/>
    <d v="2026-03-18T00:00:00"/>
    <x v="0"/>
  </r>
  <r>
    <s v="ORD1073"/>
    <x v="0"/>
    <x v="0"/>
    <n v="1"/>
    <n v="1958.01"/>
    <n v="1958.01"/>
    <x v="4"/>
    <d v="2026-03-09T00:00:00"/>
    <x v="0"/>
  </r>
  <r>
    <s v="ORD1074"/>
    <x v="6"/>
    <x v="1"/>
    <n v="1"/>
    <n v="18872.7"/>
    <n v="18872.7"/>
    <x v="4"/>
    <d v="2026-03-11T00:00:00"/>
    <x v="0"/>
  </r>
  <r>
    <s v="ORD1075"/>
    <x v="4"/>
    <x v="3"/>
    <n v="5"/>
    <n v="752.76"/>
    <n v="3763.8"/>
    <x v="6"/>
    <d v="2026-02-22T00:00:00"/>
    <x v="2"/>
  </r>
  <r>
    <s v="ORD1076"/>
    <x v="0"/>
    <x v="0"/>
    <n v="3"/>
    <n v="1801.95"/>
    <n v="5405.85"/>
    <x v="0"/>
    <d v="2026-01-14T00:00:00"/>
    <x v="1"/>
  </r>
  <r>
    <s v="ORD1077"/>
    <x v="6"/>
    <x v="1"/>
    <n v="4"/>
    <n v="19185.650000000001"/>
    <n v="76742.600000000006"/>
    <x v="7"/>
    <d v="2026-01-01T00:00:00"/>
    <x v="1"/>
  </r>
  <r>
    <s v="ORD1078"/>
    <x v="9"/>
    <x v="3"/>
    <n v="2"/>
    <n v="2567.5300000000002"/>
    <n v="5135.0600000000004"/>
    <x v="0"/>
    <d v="2026-02-11T00:00:00"/>
    <x v="2"/>
  </r>
  <r>
    <s v="ORD1079"/>
    <x v="3"/>
    <x v="1"/>
    <n v="4"/>
    <n v="28289.41"/>
    <n v="113157.64"/>
    <x v="8"/>
    <d v="2026-05-24T00:00:00"/>
    <x v="3"/>
  </r>
  <r>
    <s v="ORD1080"/>
    <x v="13"/>
    <x v="1"/>
    <n v="1"/>
    <n v="50327.68"/>
    <n v="50327.68"/>
    <x v="4"/>
    <d v="2026-05-20T00:00:00"/>
    <x v="3"/>
  </r>
  <r>
    <s v="ORD1081"/>
    <x v="13"/>
    <x v="1"/>
    <n v="3"/>
    <n v="55907.61"/>
    <n v="167722.83000000002"/>
    <x v="4"/>
    <d v="2026-04-21T00:00:00"/>
    <x v="5"/>
  </r>
  <r>
    <s v="ORD1082"/>
    <x v="11"/>
    <x v="1"/>
    <n v="1"/>
    <n v="2115.63"/>
    <n v="2115.63"/>
    <x v="7"/>
    <d v="2026-04-02T00:00:00"/>
    <x v="5"/>
  </r>
  <r>
    <s v="ORD1083"/>
    <x v="1"/>
    <x v="1"/>
    <n v="2"/>
    <n v="1550.08"/>
    <n v="3100.16"/>
    <x v="6"/>
    <d v="2026-05-24T00:00:00"/>
    <x v="3"/>
  </r>
  <r>
    <s v="ORD1084"/>
    <x v="7"/>
    <x v="4"/>
    <n v="4"/>
    <n v="7115.99"/>
    <n v="28463.96"/>
    <x v="4"/>
    <d v="2026-03-02T00:00:00"/>
    <x v="0"/>
  </r>
  <r>
    <s v="ORD1085"/>
    <x v="7"/>
    <x v="4"/>
    <n v="2"/>
    <n v="7119.07"/>
    <n v="14238.14"/>
    <x v="4"/>
    <d v="2026-04-16T00:00:00"/>
    <x v="5"/>
  </r>
  <r>
    <s v="ORD1086"/>
    <x v="13"/>
    <x v="1"/>
    <n v="2"/>
    <n v="57602.21"/>
    <n v="115204.42"/>
    <x v="6"/>
    <d v="2026-04-16T00:00:00"/>
    <x v="5"/>
  </r>
  <r>
    <s v="ORD1087"/>
    <x v="10"/>
    <x v="3"/>
    <n v="2"/>
    <n v="1905.77"/>
    <n v="3811.54"/>
    <x v="2"/>
    <d v="2026-04-08T00:00:00"/>
    <x v="5"/>
  </r>
  <r>
    <s v="ORD1088"/>
    <x v="7"/>
    <x v="4"/>
    <n v="1"/>
    <n v="6966.17"/>
    <n v="6966.17"/>
    <x v="5"/>
    <d v="2026-02-21T00:00:00"/>
    <x v="2"/>
  </r>
  <r>
    <s v="ORD1089"/>
    <x v="7"/>
    <x v="4"/>
    <n v="4"/>
    <n v="6304.56"/>
    <n v="25218.240000000002"/>
    <x v="5"/>
    <d v="2026-02-27T00:00:00"/>
    <x v="2"/>
  </r>
  <r>
    <s v="ORD1090"/>
    <x v="13"/>
    <x v="1"/>
    <n v="2"/>
    <n v="53883.13"/>
    <n v="107766.26"/>
    <x v="0"/>
    <d v="2026-01-18T00:00:00"/>
    <x v="1"/>
  </r>
  <r>
    <s v="ORD1091"/>
    <x v="10"/>
    <x v="3"/>
    <n v="3"/>
    <n v="1939.49"/>
    <n v="5818.47"/>
    <x v="1"/>
    <d v="2026-04-13T00:00:00"/>
    <x v="5"/>
  </r>
  <r>
    <s v="ORD1092"/>
    <x v="0"/>
    <x v="0"/>
    <n v="5"/>
    <n v="1739.21"/>
    <n v="8696.0499999999993"/>
    <x v="7"/>
    <d v="2026-01-30T00:00:00"/>
    <x v="1"/>
  </r>
  <r>
    <s v="ORD1093"/>
    <x v="4"/>
    <x v="3"/>
    <n v="2"/>
    <n v="811.88"/>
    <n v="1623.76"/>
    <x v="0"/>
    <d v="2026-01-10T00:00:00"/>
    <x v="1"/>
  </r>
  <r>
    <s v="ORD1094"/>
    <x v="6"/>
    <x v="1"/>
    <n v="5"/>
    <n v="17764.43"/>
    <n v="88822.15"/>
    <x v="6"/>
    <d v="2026-04-22T00:00:00"/>
    <x v="5"/>
  </r>
  <r>
    <s v="ORD1095"/>
    <x v="2"/>
    <x v="2"/>
    <n v="5"/>
    <n v="415.41"/>
    <n v="2077.0500000000002"/>
    <x v="9"/>
    <d v="2026-02-18T00:00:00"/>
    <x v="2"/>
  </r>
  <r>
    <s v="ORD1096"/>
    <x v="4"/>
    <x v="3"/>
    <n v="1"/>
    <n v="832.36"/>
    <n v="832.36"/>
    <x v="7"/>
    <d v="2026-05-14T00:00:00"/>
    <x v="3"/>
  </r>
  <r>
    <s v="ORD1097"/>
    <x v="10"/>
    <x v="3"/>
    <n v="5"/>
    <n v="2073.71"/>
    <n v="10368.549999999999"/>
    <x v="5"/>
    <d v="2026-04-04T00:00:00"/>
    <x v="5"/>
  </r>
  <r>
    <s v="ORD1098"/>
    <x v="5"/>
    <x v="0"/>
    <n v="1"/>
    <n v="5447.78"/>
    <n v="5447.78"/>
    <x v="6"/>
    <d v="2026-06-09T00:00:00"/>
    <x v="4"/>
  </r>
  <r>
    <s v="ORD1099"/>
    <x v="9"/>
    <x v="3"/>
    <n v="1"/>
    <n v="2608.83"/>
    <n v="2608.83"/>
    <x v="0"/>
    <d v="2026-05-10T00:00:00"/>
    <x v="3"/>
  </r>
  <r>
    <s v="ORD1100"/>
    <x v="4"/>
    <x v="3"/>
    <n v="4"/>
    <n v="771.22"/>
    <n v="3084.88"/>
    <x v="0"/>
    <d v="2026-05-22T00:00:00"/>
    <x v="3"/>
  </r>
  <r>
    <s v="ORD1101"/>
    <x v="11"/>
    <x v="1"/>
    <n v="2"/>
    <n v="2165"/>
    <n v="4330"/>
    <x v="8"/>
    <d v="2026-06-23T00:00:00"/>
    <x v="4"/>
  </r>
  <r>
    <s v="ORD1102"/>
    <x v="3"/>
    <x v="1"/>
    <n v="2"/>
    <n v="28646.880000000001"/>
    <n v="57293.760000000002"/>
    <x v="0"/>
    <d v="2026-04-14T00:00:00"/>
    <x v="5"/>
  </r>
  <r>
    <s v="ORD1103"/>
    <x v="12"/>
    <x v="4"/>
    <n v="1"/>
    <n v="4035.25"/>
    <n v="4035.25"/>
    <x v="5"/>
    <d v="2026-04-21T00:00:00"/>
    <x v="5"/>
  </r>
  <r>
    <s v="ORD1104"/>
    <x v="10"/>
    <x v="3"/>
    <n v="5"/>
    <n v="2041.64"/>
    <n v="10208.200000000001"/>
    <x v="6"/>
    <d v="2026-04-30T00:00:00"/>
    <x v="5"/>
  </r>
  <r>
    <s v="ORD1105"/>
    <x v="8"/>
    <x v="4"/>
    <n v="4"/>
    <n v="3622.94"/>
    <n v="14491.76"/>
    <x v="1"/>
    <d v="2026-05-02T00:00:00"/>
    <x v="3"/>
  </r>
  <r>
    <s v="ORD1106"/>
    <x v="10"/>
    <x v="3"/>
    <n v="2"/>
    <n v="2062.5100000000002"/>
    <n v="4125.0200000000004"/>
    <x v="0"/>
    <d v="2026-05-12T00:00:00"/>
    <x v="3"/>
  </r>
  <r>
    <s v="ORD1107"/>
    <x v="0"/>
    <x v="0"/>
    <n v="5"/>
    <n v="1740.67"/>
    <n v="8703.35"/>
    <x v="5"/>
    <d v="2026-06-22T00:00:00"/>
    <x v="4"/>
  </r>
  <r>
    <s v="ORD1108"/>
    <x v="4"/>
    <x v="3"/>
    <n v="2"/>
    <n v="847.99"/>
    <n v="1695.98"/>
    <x v="4"/>
    <d v="2026-01-07T00:00:00"/>
    <x v="1"/>
  </r>
  <r>
    <s v="ORD1109"/>
    <x v="13"/>
    <x v="1"/>
    <n v="2"/>
    <n v="60323.3"/>
    <n v="120646.6"/>
    <x v="9"/>
    <d v="2026-01-19T00:00:00"/>
    <x v="1"/>
  </r>
  <r>
    <s v="ORD1110"/>
    <x v="8"/>
    <x v="4"/>
    <n v="4"/>
    <n v="3770.3"/>
    <n v="15081.2"/>
    <x v="9"/>
    <d v="2026-02-19T00:00:00"/>
    <x v="2"/>
  </r>
  <r>
    <s v="ORD1111"/>
    <x v="3"/>
    <x v="1"/>
    <n v="4"/>
    <n v="27968.51"/>
    <n v="111874.04"/>
    <x v="5"/>
    <d v="2026-02-07T00:00:00"/>
    <x v="2"/>
  </r>
  <r>
    <s v="ORD1112"/>
    <x v="0"/>
    <x v="0"/>
    <n v="1"/>
    <n v="1941.36"/>
    <n v="1941.36"/>
    <x v="2"/>
    <d v="2026-04-19T00:00:00"/>
    <x v="5"/>
  </r>
  <r>
    <s v="ORD1113"/>
    <x v="1"/>
    <x v="1"/>
    <n v="2"/>
    <n v="1591.23"/>
    <n v="3182.46"/>
    <x v="1"/>
    <d v="2026-04-29T00:00:00"/>
    <x v="5"/>
  </r>
  <r>
    <s v="ORD1114"/>
    <x v="13"/>
    <x v="1"/>
    <n v="5"/>
    <n v="52241.18"/>
    <n v="261205.9"/>
    <x v="2"/>
    <d v="2026-04-27T00:00:00"/>
    <x v="5"/>
  </r>
  <r>
    <s v="ORD1115"/>
    <x v="11"/>
    <x v="1"/>
    <n v="4"/>
    <n v="2273.73"/>
    <n v="9094.92"/>
    <x v="1"/>
    <d v="2026-06-02T00:00:00"/>
    <x v="4"/>
  </r>
  <r>
    <s v="ORD1116"/>
    <x v="9"/>
    <x v="3"/>
    <n v="4"/>
    <n v="2555.3000000000002"/>
    <n v="10221.200000000001"/>
    <x v="1"/>
    <d v="2026-04-20T00:00:00"/>
    <x v="5"/>
  </r>
  <r>
    <s v="ORD1117"/>
    <x v="7"/>
    <x v="4"/>
    <n v="5"/>
    <n v="6429.69"/>
    <n v="32148.449999999997"/>
    <x v="4"/>
    <d v="2026-05-02T00:00:00"/>
    <x v="3"/>
  </r>
  <r>
    <s v="ORD1118"/>
    <x v="8"/>
    <x v="4"/>
    <n v="3"/>
    <n v="3676.24"/>
    <n v="11028.72"/>
    <x v="0"/>
    <d v="2026-05-14T00:00:00"/>
    <x v="3"/>
  </r>
  <r>
    <s v="ORD1119"/>
    <x v="8"/>
    <x v="4"/>
    <n v="2"/>
    <n v="3342.22"/>
    <n v="6684.44"/>
    <x v="2"/>
    <d v="2026-03-15T00:00:00"/>
    <x v="0"/>
  </r>
  <r>
    <s v="ORD1120"/>
    <x v="1"/>
    <x v="1"/>
    <n v="3"/>
    <n v="1450.75"/>
    <n v="4352.25"/>
    <x v="1"/>
    <d v="2026-01-21T00:00:00"/>
    <x v="1"/>
  </r>
  <r>
    <s v="ORD1121"/>
    <x v="11"/>
    <x v="1"/>
    <n v="2"/>
    <n v="2081.7600000000002"/>
    <n v="4163.5200000000004"/>
    <x v="4"/>
    <d v="2026-02-24T00:00:00"/>
    <x v="2"/>
  </r>
  <r>
    <s v="ORD1122"/>
    <x v="6"/>
    <x v="1"/>
    <n v="4"/>
    <n v="17667.36"/>
    <n v="70669.440000000002"/>
    <x v="1"/>
    <d v="2026-04-30T00:00:00"/>
    <x v="5"/>
  </r>
  <r>
    <s v="ORD1123"/>
    <x v="5"/>
    <x v="0"/>
    <n v="1"/>
    <n v="4705.8900000000003"/>
    <n v="4705.8900000000003"/>
    <x v="8"/>
    <d v="2026-04-10T00:00:00"/>
    <x v="5"/>
  </r>
  <r>
    <s v="ORD1124"/>
    <x v="10"/>
    <x v="3"/>
    <n v="5"/>
    <n v="2177.34"/>
    <n v="10886.7"/>
    <x v="7"/>
    <d v="2026-05-28T00:00:00"/>
    <x v="3"/>
  </r>
  <r>
    <s v="ORD1125"/>
    <x v="5"/>
    <x v="0"/>
    <n v="4"/>
    <n v="4504.99"/>
    <n v="18019.96"/>
    <x v="6"/>
    <d v="2026-03-18T00:00:00"/>
    <x v="0"/>
  </r>
  <r>
    <s v="ORD1126"/>
    <x v="10"/>
    <x v="3"/>
    <n v="4"/>
    <n v="2140.31"/>
    <n v="8561.24"/>
    <x v="8"/>
    <d v="2026-05-18T00:00:00"/>
    <x v="3"/>
  </r>
  <r>
    <s v="ORD1127"/>
    <x v="3"/>
    <x v="1"/>
    <n v="5"/>
    <n v="29679.26"/>
    <n v="148396.29999999999"/>
    <x v="5"/>
    <d v="2026-05-05T00:00:00"/>
    <x v="3"/>
  </r>
  <r>
    <s v="ORD1128"/>
    <x v="1"/>
    <x v="1"/>
    <n v="3"/>
    <n v="1480.75"/>
    <n v="4442.25"/>
    <x v="7"/>
    <d v="2026-04-10T00:00:00"/>
    <x v="5"/>
  </r>
  <r>
    <s v="ORD1129"/>
    <x v="9"/>
    <x v="3"/>
    <n v="4"/>
    <n v="2611.0500000000002"/>
    <n v="10444.200000000001"/>
    <x v="3"/>
    <d v="2026-02-02T00:00:00"/>
    <x v="2"/>
  </r>
  <r>
    <s v="ORD1130"/>
    <x v="2"/>
    <x v="2"/>
    <n v="5"/>
    <n v="407.43"/>
    <n v="2037.15"/>
    <x v="8"/>
    <d v="2026-06-01T00:00:00"/>
    <x v="4"/>
  </r>
  <r>
    <s v="ORD1131"/>
    <x v="2"/>
    <x v="2"/>
    <n v="1"/>
    <n v="412.56"/>
    <n v="412.56"/>
    <x v="8"/>
    <d v="2026-02-04T00:00:00"/>
    <x v="2"/>
  </r>
  <r>
    <s v="ORD1132"/>
    <x v="7"/>
    <x v="4"/>
    <n v="4"/>
    <n v="6086.25"/>
    <n v="24345"/>
    <x v="0"/>
    <d v="2026-04-08T00:00:00"/>
    <x v="5"/>
  </r>
  <r>
    <s v="ORD1133"/>
    <x v="9"/>
    <x v="3"/>
    <n v="2"/>
    <n v="2476.36"/>
    <n v="4952.72"/>
    <x v="6"/>
    <d v="2026-04-08T00:00:00"/>
    <x v="5"/>
  </r>
  <r>
    <s v="ORD1134"/>
    <x v="4"/>
    <x v="3"/>
    <n v="4"/>
    <n v="759.41"/>
    <n v="3037.64"/>
    <x v="2"/>
    <d v="2026-05-01T00:00:00"/>
    <x v="3"/>
  </r>
  <r>
    <s v="ORD1135"/>
    <x v="13"/>
    <x v="1"/>
    <n v="5"/>
    <n v="50072.94"/>
    <n v="250364.7"/>
    <x v="6"/>
    <d v="2026-02-27T00:00:00"/>
    <x v="2"/>
  </r>
  <r>
    <s v="ORD1136"/>
    <x v="0"/>
    <x v="0"/>
    <n v="1"/>
    <n v="1901.24"/>
    <n v="1901.24"/>
    <x v="7"/>
    <d v="2026-01-08T00:00:00"/>
    <x v="1"/>
  </r>
  <r>
    <s v="ORD1137"/>
    <x v="1"/>
    <x v="1"/>
    <n v="2"/>
    <n v="1601.77"/>
    <n v="3203.54"/>
    <x v="9"/>
    <d v="2026-02-09T00:00:00"/>
    <x v="2"/>
  </r>
  <r>
    <s v="ORD1138"/>
    <x v="1"/>
    <x v="1"/>
    <n v="2"/>
    <n v="1492.07"/>
    <n v="2984.14"/>
    <x v="2"/>
    <d v="2026-05-25T00:00:00"/>
    <x v="3"/>
  </r>
  <r>
    <s v="ORD1139"/>
    <x v="1"/>
    <x v="1"/>
    <n v="4"/>
    <n v="1559.84"/>
    <n v="6239.36"/>
    <x v="6"/>
    <d v="2026-02-12T00:00:00"/>
    <x v="2"/>
  </r>
  <r>
    <s v="ORD1140"/>
    <x v="2"/>
    <x v="2"/>
    <n v="5"/>
    <n v="491.74"/>
    <n v="2458.6999999999998"/>
    <x v="2"/>
    <d v="2026-02-11T00:00:00"/>
    <x v="2"/>
  </r>
  <r>
    <s v="ORD1141"/>
    <x v="4"/>
    <x v="3"/>
    <n v="1"/>
    <n v="811.57"/>
    <n v="811.57"/>
    <x v="0"/>
    <d v="2026-05-28T00:00:00"/>
    <x v="3"/>
  </r>
  <r>
    <s v="ORD1142"/>
    <x v="0"/>
    <x v="0"/>
    <n v="4"/>
    <n v="1762.8"/>
    <n v="7051.2"/>
    <x v="5"/>
    <d v="2026-01-20T00:00:00"/>
    <x v="1"/>
  </r>
  <r>
    <s v="ORD1143"/>
    <x v="2"/>
    <x v="2"/>
    <n v="2"/>
    <n v="414.17"/>
    <n v="828.34"/>
    <x v="0"/>
    <d v="2026-06-25T00:00:00"/>
    <x v="4"/>
  </r>
  <r>
    <s v="ORD1144"/>
    <x v="2"/>
    <x v="2"/>
    <n v="1"/>
    <n v="476.66"/>
    <n v="476.66"/>
    <x v="9"/>
    <d v="2026-01-11T00:00:00"/>
    <x v="1"/>
  </r>
  <r>
    <s v="ORD1145"/>
    <x v="9"/>
    <x v="3"/>
    <n v="5"/>
    <n v="2463.1999999999998"/>
    <n v="12316"/>
    <x v="6"/>
    <d v="2026-01-18T00:00:00"/>
    <x v="1"/>
  </r>
  <r>
    <s v="ORD1146"/>
    <x v="12"/>
    <x v="4"/>
    <n v="3"/>
    <n v="3790.63"/>
    <n v="11371.89"/>
    <x v="8"/>
    <d v="2026-05-06T00:00:00"/>
    <x v="3"/>
  </r>
  <r>
    <s v="ORD1147"/>
    <x v="6"/>
    <x v="1"/>
    <n v="4"/>
    <n v="19658.84"/>
    <n v="78635.360000000001"/>
    <x v="3"/>
    <d v="2026-02-09T00:00:00"/>
    <x v="2"/>
  </r>
  <r>
    <s v="ORD1148"/>
    <x v="5"/>
    <x v="0"/>
    <n v="2"/>
    <n v="5232.75"/>
    <n v="10465.5"/>
    <x v="0"/>
    <d v="2026-06-07T00:00:00"/>
    <x v="4"/>
  </r>
  <r>
    <s v="ORD1149"/>
    <x v="10"/>
    <x v="3"/>
    <n v="5"/>
    <n v="2108.8000000000002"/>
    <n v="10544"/>
    <x v="3"/>
    <d v="2026-04-22T00:00:00"/>
    <x v="5"/>
  </r>
  <r>
    <s v="ORD1150"/>
    <x v="7"/>
    <x v="4"/>
    <n v="5"/>
    <n v="6198.91"/>
    <n v="30994.55"/>
    <x v="5"/>
    <d v="2026-01-23T00:00:00"/>
    <x v="1"/>
  </r>
  <r>
    <s v="ORD1151"/>
    <x v="4"/>
    <x v="3"/>
    <n v="4"/>
    <n v="758.07"/>
    <n v="3032.28"/>
    <x v="3"/>
    <d v="2026-05-26T00:00:00"/>
    <x v="3"/>
  </r>
  <r>
    <s v="ORD1152"/>
    <x v="2"/>
    <x v="2"/>
    <n v="4"/>
    <n v="435.28"/>
    <n v="1741.12"/>
    <x v="3"/>
    <d v="2026-03-25T00:00:00"/>
    <x v="0"/>
  </r>
  <r>
    <s v="ORD1153"/>
    <x v="11"/>
    <x v="1"/>
    <n v="4"/>
    <n v="2073.33"/>
    <n v="8293.32"/>
    <x v="0"/>
    <d v="2026-03-29T00:00:00"/>
    <x v="0"/>
  </r>
  <r>
    <s v="ORD1154"/>
    <x v="4"/>
    <x v="3"/>
    <n v="5"/>
    <n v="831.15"/>
    <n v="4155.75"/>
    <x v="0"/>
    <d v="2026-05-23T00:00:00"/>
    <x v="3"/>
  </r>
  <r>
    <s v="ORD1155"/>
    <x v="13"/>
    <x v="1"/>
    <n v="5"/>
    <n v="59928.69"/>
    <n v="299643.45"/>
    <x v="2"/>
    <d v="2026-03-03T00:00:00"/>
    <x v="0"/>
  </r>
  <r>
    <s v="ORD1156"/>
    <x v="3"/>
    <x v="1"/>
    <n v="4"/>
    <n v="27936.04"/>
    <n v="111744.16"/>
    <x v="5"/>
    <d v="2026-06-26T00:00:00"/>
    <x v="4"/>
  </r>
  <r>
    <s v="ORD1157"/>
    <x v="8"/>
    <x v="4"/>
    <n v="4"/>
    <n v="3463.72"/>
    <n v="13854.88"/>
    <x v="7"/>
    <d v="2026-01-24T00:00:00"/>
    <x v="1"/>
  </r>
  <r>
    <s v="ORD1158"/>
    <x v="4"/>
    <x v="3"/>
    <n v="2"/>
    <n v="783.72"/>
    <n v="1567.44"/>
    <x v="5"/>
    <d v="2026-03-20T00:00:00"/>
    <x v="0"/>
  </r>
  <r>
    <s v="ORD1159"/>
    <x v="0"/>
    <x v="0"/>
    <n v="5"/>
    <n v="1752.85"/>
    <n v="8764.25"/>
    <x v="1"/>
    <d v="2026-05-16T00:00:00"/>
    <x v="3"/>
  </r>
  <r>
    <s v="ORD1160"/>
    <x v="9"/>
    <x v="3"/>
    <n v="4"/>
    <n v="2747.22"/>
    <n v="10988.88"/>
    <x v="1"/>
    <d v="2026-03-26T00:00:00"/>
    <x v="0"/>
  </r>
  <r>
    <s v="ORD1161"/>
    <x v="9"/>
    <x v="3"/>
    <n v="4"/>
    <n v="2384.5"/>
    <n v="9538"/>
    <x v="0"/>
    <d v="2026-03-01T00:00:00"/>
    <x v="0"/>
  </r>
  <r>
    <s v="ORD1162"/>
    <x v="6"/>
    <x v="1"/>
    <n v="2"/>
    <n v="17335.97"/>
    <n v="34671.94"/>
    <x v="1"/>
    <d v="2026-06-26T00:00:00"/>
    <x v="4"/>
  </r>
  <r>
    <s v="ORD1163"/>
    <x v="11"/>
    <x v="1"/>
    <n v="2"/>
    <n v="2075.21"/>
    <n v="4150.42"/>
    <x v="3"/>
    <d v="2026-03-12T00:00:00"/>
    <x v="0"/>
  </r>
  <r>
    <s v="ORD1164"/>
    <x v="3"/>
    <x v="1"/>
    <n v="5"/>
    <n v="30669"/>
    <n v="153345"/>
    <x v="1"/>
    <d v="2026-06-02T00:00:00"/>
    <x v="4"/>
  </r>
  <r>
    <s v="ORD1165"/>
    <x v="4"/>
    <x v="3"/>
    <n v="1"/>
    <n v="852.15"/>
    <n v="852.15"/>
    <x v="0"/>
    <d v="2026-02-28T00:00:00"/>
    <x v="2"/>
  </r>
  <r>
    <s v="ORD1166"/>
    <x v="9"/>
    <x v="3"/>
    <n v="2"/>
    <n v="2400.17"/>
    <n v="4800.34"/>
    <x v="1"/>
    <d v="2026-02-02T00:00:00"/>
    <x v="2"/>
  </r>
  <r>
    <s v="ORD1167"/>
    <x v="4"/>
    <x v="3"/>
    <n v="1"/>
    <n v="874.79"/>
    <n v="874.79"/>
    <x v="1"/>
    <d v="2026-03-16T00:00:00"/>
    <x v="0"/>
  </r>
  <r>
    <s v="ORD1168"/>
    <x v="3"/>
    <x v="1"/>
    <n v="2"/>
    <n v="28772.07"/>
    <n v="57544.14"/>
    <x v="3"/>
    <d v="2026-01-27T00:00:00"/>
    <x v="1"/>
  </r>
  <r>
    <s v="ORD1169"/>
    <x v="7"/>
    <x v="4"/>
    <n v="1"/>
    <n v="6596.28"/>
    <n v="6596.28"/>
    <x v="3"/>
    <d v="2026-05-03T00:00:00"/>
    <x v="3"/>
  </r>
  <r>
    <s v="ORD1170"/>
    <x v="8"/>
    <x v="4"/>
    <n v="3"/>
    <n v="3279.05"/>
    <n v="9837.1500000000015"/>
    <x v="7"/>
    <d v="2026-03-06T00:00:00"/>
    <x v="0"/>
  </r>
  <r>
    <s v="ORD1171"/>
    <x v="7"/>
    <x v="4"/>
    <n v="4"/>
    <n v="5998.31"/>
    <n v="23993.24"/>
    <x v="2"/>
    <d v="2026-04-13T00:00:00"/>
    <x v="5"/>
  </r>
  <r>
    <s v="ORD1172"/>
    <x v="8"/>
    <x v="4"/>
    <n v="1"/>
    <n v="3553.91"/>
    <n v="3553.91"/>
    <x v="7"/>
    <d v="2026-02-08T00:00:00"/>
    <x v="2"/>
  </r>
  <r>
    <s v="ORD1173"/>
    <x v="11"/>
    <x v="1"/>
    <n v="5"/>
    <n v="2397.62"/>
    <n v="11988.099999999999"/>
    <x v="2"/>
    <d v="2026-03-05T00:00:00"/>
    <x v="0"/>
  </r>
  <r>
    <s v="ORD1174"/>
    <x v="6"/>
    <x v="1"/>
    <n v="5"/>
    <n v="18952"/>
    <n v="94760"/>
    <x v="9"/>
    <d v="2026-06-02T00:00:00"/>
    <x v="4"/>
  </r>
  <r>
    <s v="ORD1175"/>
    <x v="10"/>
    <x v="3"/>
    <n v="5"/>
    <n v="1889.33"/>
    <n v="9446.65"/>
    <x v="1"/>
    <d v="2026-04-08T00:00:00"/>
    <x v="5"/>
  </r>
  <r>
    <s v="ORD1176"/>
    <x v="8"/>
    <x v="4"/>
    <n v="4"/>
    <n v="3358.15"/>
    <n v="13432.6"/>
    <x v="9"/>
    <d v="2026-04-20T00:00:00"/>
    <x v="5"/>
  </r>
  <r>
    <s v="ORD1177"/>
    <x v="4"/>
    <x v="3"/>
    <n v="5"/>
    <n v="818.34"/>
    <n v="4091.7000000000003"/>
    <x v="9"/>
    <d v="2026-01-26T00:00:00"/>
    <x v="1"/>
  </r>
  <r>
    <s v="ORD1178"/>
    <x v="10"/>
    <x v="3"/>
    <n v="2"/>
    <n v="2049.1799999999998"/>
    <n v="4098.3599999999997"/>
    <x v="0"/>
    <d v="2026-06-19T00:00:00"/>
    <x v="4"/>
  </r>
  <r>
    <s v="ORD1179"/>
    <x v="6"/>
    <x v="1"/>
    <n v="2"/>
    <n v="17063.509999999998"/>
    <n v="34127.019999999997"/>
    <x v="1"/>
    <d v="2026-01-20T00:00:00"/>
    <x v="1"/>
  </r>
  <r>
    <s v="ORD1180"/>
    <x v="11"/>
    <x v="1"/>
    <n v="1"/>
    <n v="2159.75"/>
    <n v="2159.75"/>
    <x v="9"/>
    <d v="2026-05-01T00:00:00"/>
    <x v="3"/>
  </r>
  <r>
    <s v="ORD1181"/>
    <x v="4"/>
    <x v="3"/>
    <n v="1"/>
    <n v="756.09"/>
    <n v="756.09"/>
    <x v="0"/>
    <d v="2026-06-29T00:00:00"/>
    <x v="4"/>
  </r>
  <r>
    <s v="ORD1182"/>
    <x v="7"/>
    <x v="4"/>
    <n v="4"/>
    <n v="5942.53"/>
    <n v="23770.12"/>
    <x v="5"/>
    <d v="2026-03-09T00:00:00"/>
    <x v="0"/>
  </r>
  <r>
    <s v="ORD1183"/>
    <x v="10"/>
    <x v="3"/>
    <n v="5"/>
    <n v="2063.44"/>
    <n v="10317.200000000001"/>
    <x v="5"/>
    <d v="2026-04-19T00:00:00"/>
    <x v="5"/>
  </r>
  <r>
    <s v="ORD1184"/>
    <x v="6"/>
    <x v="1"/>
    <n v="5"/>
    <n v="17009.310000000001"/>
    <n v="85046.55"/>
    <x v="4"/>
    <d v="2026-03-10T00:00:00"/>
    <x v="0"/>
  </r>
  <r>
    <s v="ORD1185"/>
    <x v="7"/>
    <x v="4"/>
    <n v="2"/>
    <n v="5942.83"/>
    <n v="11885.66"/>
    <x v="4"/>
    <d v="2026-03-20T00:00:00"/>
    <x v="0"/>
  </r>
  <r>
    <s v="ORD1186"/>
    <x v="2"/>
    <x v="2"/>
    <n v="5"/>
    <n v="487.91"/>
    <n v="2439.5500000000002"/>
    <x v="3"/>
    <d v="2026-02-01T00:00:00"/>
    <x v="2"/>
  </r>
  <r>
    <s v="ORD1187"/>
    <x v="8"/>
    <x v="4"/>
    <n v="3"/>
    <n v="3639.81"/>
    <n v="10919.43"/>
    <x v="0"/>
    <d v="2026-05-09T00:00:00"/>
    <x v="3"/>
  </r>
  <r>
    <s v="ORD1188"/>
    <x v="12"/>
    <x v="4"/>
    <n v="4"/>
    <n v="4147.72"/>
    <n v="16590.88"/>
    <x v="9"/>
    <d v="2026-01-11T00:00:00"/>
    <x v="1"/>
  </r>
  <r>
    <s v="ORD1189"/>
    <x v="5"/>
    <x v="0"/>
    <n v="3"/>
    <n v="5102.6899999999996"/>
    <n v="15308.07"/>
    <x v="7"/>
    <d v="2026-01-24T00:00:00"/>
    <x v="1"/>
  </r>
  <r>
    <s v="ORD1190"/>
    <x v="1"/>
    <x v="1"/>
    <n v="5"/>
    <n v="1526.14"/>
    <n v="7630.7000000000007"/>
    <x v="7"/>
    <d v="2026-06-22T00:00:00"/>
    <x v="4"/>
  </r>
  <r>
    <s v="ORD1191"/>
    <x v="7"/>
    <x v="4"/>
    <n v="3"/>
    <n v="6599.12"/>
    <n v="19797.36"/>
    <x v="4"/>
    <d v="2026-05-01T00:00:00"/>
    <x v="3"/>
  </r>
  <r>
    <s v="ORD1192"/>
    <x v="12"/>
    <x v="4"/>
    <n v="4"/>
    <n v="4549.5"/>
    <n v="18198"/>
    <x v="4"/>
    <d v="2026-05-30T00:00:00"/>
    <x v="3"/>
  </r>
  <r>
    <s v="ORD1193"/>
    <x v="5"/>
    <x v="0"/>
    <n v="4"/>
    <n v="5467.96"/>
    <n v="21871.84"/>
    <x v="3"/>
    <d v="2026-03-31T00:00:00"/>
    <x v="0"/>
  </r>
  <r>
    <s v="ORD1194"/>
    <x v="5"/>
    <x v="0"/>
    <n v="3"/>
    <n v="4820.09"/>
    <n v="14460.27"/>
    <x v="2"/>
    <d v="2026-02-11T00:00:00"/>
    <x v="2"/>
  </r>
  <r>
    <s v="ORD1195"/>
    <x v="9"/>
    <x v="3"/>
    <n v="4"/>
    <n v="2595.8000000000002"/>
    <n v="10383.200000000001"/>
    <x v="0"/>
    <d v="2026-06-19T00:00:00"/>
    <x v="4"/>
  </r>
  <r>
    <s v="ORD1196"/>
    <x v="5"/>
    <x v="0"/>
    <n v="5"/>
    <n v="4535.79"/>
    <n v="22678.95"/>
    <x v="2"/>
    <d v="2026-03-22T00:00:00"/>
    <x v="0"/>
  </r>
  <r>
    <s v="ORD1197"/>
    <x v="4"/>
    <x v="3"/>
    <n v="3"/>
    <n v="737.62"/>
    <n v="2212.86"/>
    <x v="8"/>
    <d v="2026-05-12T00:00:00"/>
    <x v="3"/>
  </r>
  <r>
    <s v="ORD1198"/>
    <x v="7"/>
    <x v="4"/>
    <n v="1"/>
    <n v="6704.96"/>
    <n v="6704.96"/>
    <x v="1"/>
    <d v="2026-04-29T00:00:00"/>
    <x v="5"/>
  </r>
  <r>
    <s v="ORD1199"/>
    <x v="5"/>
    <x v="0"/>
    <n v="1"/>
    <n v="4686.6499999999996"/>
    <n v="4686.6499999999996"/>
    <x v="6"/>
    <d v="2026-06-09T00:00:00"/>
    <x v="4"/>
  </r>
  <r>
    <s v="ORD1200"/>
    <x v="10"/>
    <x v="3"/>
    <n v="4"/>
    <n v="2049.14"/>
    <n v="8196.56"/>
    <x v="7"/>
    <d v="2026-02-22T00:00:00"/>
    <x v="2"/>
  </r>
  <r>
    <s v="ORD1201"/>
    <x v="4"/>
    <x v="3"/>
    <n v="5"/>
    <n v="740.04"/>
    <n v="3700.2"/>
    <x v="0"/>
    <d v="2026-04-23T00:00:00"/>
    <x v="5"/>
  </r>
  <r>
    <s v="ORD1202"/>
    <x v="3"/>
    <x v="1"/>
    <n v="4"/>
    <n v="25879.99"/>
    <n v="103519.96"/>
    <x v="9"/>
    <d v="2026-03-03T00:00:00"/>
    <x v="0"/>
  </r>
  <r>
    <s v="ORD1203"/>
    <x v="3"/>
    <x v="1"/>
    <n v="2"/>
    <n v="26940.2"/>
    <n v="53880.4"/>
    <x v="7"/>
    <d v="2026-05-22T00:00:00"/>
    <x v="3"/>
  </r>
  <r>
    <s v="ORD1204"/>
    <x v="5"/>
    <x v="0"/>
    <n v="1"/>
    <n v="4723.76"/>
    <n v="4723.76"/>
    <x v="2"/>
    <d v="2026-04-29T00:00:00"/>
    <x v="5"/>
  </r>
  <r>
    <s v="ORD1205"/>
    <x v="6"/>
    <x v="1"/>
    <n v="2"/>
    <n v="17994.150000000001"/>
    <n v="35988.300000000003"/>
    <x v="0"/>
    <d v="2026-05-11T00:00:00"/>
    <x v="3"/>
  </r>
  <r>
    <s v="ORD1206"/>
    <x v="3"/>
    <x v="1"/>
    <n v="3"/>
    <n v="27526.75"/>
    <n v="82580.25"/>
    <x v="3"/>
    <d v="2026-05-01T00:00:00"/>
    <x v="3"/>
  </r>
  <r>
    <s v="ORD1207"/>
    <x v="1"/>
    <x v="1"/>
    <n v="4"/>
    <n v="1515.38"/>
    <n v="6061.52"/>
    <x v="8"/>
    <d v="2026-02-18T00:00:00"/>
    <x v="2"/>
  </r>
  <r>
    <s v="ORD1208"/>
    <x v="2"/>
    <x v="2"/>
    <n v="5"/>
    <n v="472.17"/>
    <n v="2360.85"/>
    <x v="4"/>
    <d v="2026-01-18T00:00:00"/>
    <x v="1"/>
  </r>
  <r>
    <s v="ORD1209"/>
    <x v="4"/>
    <x v="3"/>
    <n v="4"/>
    <n v="773.41"/>
    <n v="3093.64"/>
    <x v="1"/>
    <d v="2026-03-10T00:00:00"/>
    <x v="0"/>
  </r>
  <r>
    <s v="ORD1210"/>
    <x v="7"/>
    <x v="4"/>
    <n v="1"/>
    <n v="6217.69"/>
    <n v="6217.69"/>
    <x v="0"/>
    <d v="2026-05-31T00:00:00"/>
    <x v="3"/>
  </r>
  <r>
    <s v="ORD1211"/>
    <x v="2"/>
    <x v="2"/>
    <n v="4"/>
    <n v="482.87"/>
    <n v="1931.48"/>
    <x v="3"/>
    <d v="2026-05-18T00:00:00"/>
    <x v="3"/>
  </r>
  <r>
    <s v="ORD1212"/>
    <x v="8"/>
    <x v="4"/>
    <n v="3"/>
    <n v="3382.71"/>
    <n v="10148.130000000001"/>
    <x v="1"/>
    <d v="2026-04-07T00:00:00"/>
    <x v="5"/>
  </r>
  <r>
    <s v="ORD1213"/>
    <x v="8"/>
    <x v="4"/>
    <n v="3"/>
    <n v="3758.72"/>
    <n v="11276.16"/>
    <x v="5"/>
    <d v="2026-05-27T00:00:00"/>
    <x v="3"/>
  </r>
  <r>
    <s v="ORD1214"/>
    <x v="5"/>
    <x v="0"/>
    <n v="2"/>
    <n v="5354.94"/>
    <n v="10709.88"/>
    <x v="8"/>
    <d v="2026-01-12T00:00:00"/>
    <x v="1"/>
  </r>
  <r>
    <s v="ORD1215"/>
    <x v="9"/>
    <x v="3"/>
    <n v="4"/>
    <n v="2601.5700000000002"/>
    <n v="10406.280000000001"/>
    <x v="8"/>
    <d v="2026-04-09T00:00:00"/>
    <x v="5"/>
  </r>
  <r>
    <s v="ORD1216"/>
    <x v="0"/>
    <x v="0"/>
    <n v="2"/>
    <n v="1798.32"/>
    <n v="3596.64"/>
    <x v="7"/>
    <d v="2026-02-02T00:00:00"/>
    <x v="2"/>
  </r>
  <r>
    <s v="ORD1217"/>
    <x v="12"/>
    <x v="4"/>
    <n v="5"/>
    <n v="4058.88"/>
    <n v="20294.400000000001"/>
    <x v="2"/>
    <d v="2026-04-23T00:00:00"/>
    <x v="5"/>
  </r>
  <r>
    <s v="ORD1218"/>
    <x v="6"/>
    <x v="1"/>
    <n v="5"/>
    <n v="19477.59"/>
    <n v="97387.95"/>
    <x v="7"/>
    <d v="2026-02-06T00:00:00"/>
    <x v="2"/>
  </r>
  <r>
    <s v="ORD1219"/>
    <x v="5"/>
    <x v="0"/>
    <n v="2"/>
    <n v="4573.91"/>
    <n v="9147.82"/>
    <x v="0"/>
    <d v="2026-03-28T00:00:00"/>
    <x v="0"/>
  </r>
  <r>
    <s v="ORD1220"/>
    <x v="2"/>
    <x v="2"/>
    <n v="4"/>
    <n v="463.49"/>
    <n v="1853.96"/>
    <x v="6"/>
    <d v="2026-06-22T00:00:00"/>
    <x v="4"/>
  </r>
  <r>
    <s v="ORD1221"/>
    <x v="7"/>
    <x v="4"/>
    <n v="5"/>
    <n v="6344.01"/>
    <n v="31720.050000000003"/>
    <x v="6"/>
    <d v="2026-06-10T00:00:00"/>
    <x v="4"/>
  </r>
  <r>
    <s v="ORD1222"/>
    <x v="3"/>
    <x v="1"/>
    <n v="4"/>
    <n v="30085.34"/>
    <n v="120341.36"/>
    <x v="7"/>
    <d v="2026-06-08T00:00:00"/>
    <x v="4"/>
  </r>
  <r>
    <s v="ORD1223"/>
    <x v="6"/>
    <x v="1"/>
    <n v="2"/>
    <n v="18472.18"/>
    <n v="36944.36"/>
    <x v="0"/>
    <d v="2026-02-28T00:00:00"/>
    <x v="2"/>
  </r>
  <r>
    <s v="ORD1224"/>
    <x v="3"/>
    <x v="1"/>
    <n v="1"/>
    <n v="27630.240000000002"/>
    <n v="27630.240000000002"/>
    <x v="2"/>
    <d v="2026-06-12T00:00:00"/>
    <x v="4"/>
  </r>
  <r>
    <s v="ORD1225"/>
    <x v="3"/>
    <x v="1"/>
    <n v="1"/>
    <n v="27684.6"/>
    <n v="27684.6"/>
    <x v="0"/>
    <d v="2026-01-08T00:00:00"/>
    <x v="1"/>
  </r>
  <r>
    <s v="ORD1226"/>
    <x v="13"/>
    <x v="1"/>
    <n v="3"/>
    <n v="58257.58"/>
    <n v="174772.74"/>
    <x v="0"/>
    <d v="2026-04-02T00:00:00"/>
    <x v="5"/>
  </r>
  <r>
    <s v="ORD1227"/>
    <x v="9"/>
    <x v="3"/>
    <n v="4"/>
    <n v="2321.86"/>
    <n v="9287.44"/>
    <x v="1"/>
    <d v="2026-04-16T00:00:00"/>
    <x v="5"/>
  </r>
  <r>
    <s v="ORD1228"/>
    <x v="2"/>
    <x v="2"/>
    <n v="2"/>
    <n v="420.3"/>
    <n v="840.6"/>
    <x v="2"/>
    <d v="2026-06-06T00:00:00"/>
    <x v="4"/>
  </r>
  <r>
    <s v="ORD1229"/>
    <x v="7"/>
    <x v="4"/>
    <n v="4"/>
    <n v="6655.62"/>
    <n v="26622.48"/>
    <x v="5"/>
    <d v="2026-05-08T00:00:00"/>
    <x v="3"/>
  </r>
  <r>
    <s v="ORD1230"/>
    <x v="2"/>
    <x v="2"/>
    <n v="2"/>
    <n v="425.9"/>
    <n v="851.8"/>
    <x v="0"/>
    <d v="2026-04-28T00:00:00"/>
    <x v="5"/>
  </r>
  <r>
    <s v="ORD1231"/>
    <x v="4"/>
    <x v="3"/>
    <n v="1"/>
    <n v="862.75"/>
    <n v="862.75"/>
    <x v="3"/>
    <d v="2026-03-15T00:00:00"/>
    <x v="0"/>
  </r>
  <r>
    <s v="ORD1232"/>
    <x v="0"/>
    <x v="0"/>
    <n v="5"/>
    <n v="1676.87"/>
    <n v="8384.3499999999985"/>
    <x v="3"/>
    <d v="2026-03-30T00:00:00"/>
    <x v="0"/>
  </r>
  <r>
    <s v="ORD1233"/>
    <x v="2"/>
    <x v="2"/>
    <n v="3"/>
    <n v="462.5"/>
    <n v="1387.5"/>
    <x v="8"/>
    <d v="2026-06-26T00:00:00"/>
    <x v="4"/>
  </r>
  <r>
    <s v="ORD1234"/>
    <x v="4"/>
    <x v="3"/>
    <n v="4"/>
    <n v="854.18"/>
    <n v="3416.72"/>
    <x v="5"/>
    <d v="2026-04-09T00:00:00"/>
    <x v="5"/>
  </r>
  <r>
    <s v="ORD1235"/>
    <x v="7"/>
    <x v="4"/>
    <n v="4"/>
    <n v="5988.65"/>
    <n v="23954.6"/>
    <x v="8"/>
    <d v="2026-05-27T00:00:00"/>
    <x v="3"/>
  </r>
  <r>
    <s v="ORD1236"/>
    <x v="9"/>
    <x v="3"/>
    <n v="5"/>
    <n v="2396.98"/>
    <n v="11984.9"/>
    <x v="0"/>
    <d v="2026-01-06T00:00:00"/>
    <x v="1"/>
  </r>
  <r>
    <s v="ORD1237"/>
    <x v="7"/>
    <x v="4"/>
    <n v="4"/>
    <n v="6206.82"/>
    <n v="24827.279999999999"/>
    <x v="9"/>
    <d v="2026-06-25T00:00:00"/>
    <x v="4"/>
  </r>
  <r>
    <s v="ORD1238"/>
    <x v="10"/>
    <x v="3"/>
    <n v="1"/>
    <n v="2163.16"/>
    <n v="2163.16"/>
    <x v="3"/>
    <d v="2026-03-15T00:00:00"/>
    <x v="0"/>
  </r>
  <r>
    <s v="ORD1239"/>
    <x v="10"/>
    <x v="3"/>
    <n v="2"/>
    <n v="2041.8"/>
    <n v="4083.6"/>
    <x v="6"/>
    <d v="2026-02-26T00:00:00"/>
    <x v="2"/>
  </r>
  <r>
    <s v="ORD1240"/>
    <x v="0"/>
    <x v="0"/>
    <n v="2"/>
    <n v="1843.52"/>
    <n v="3687.04"/>
    <x v="4"/>
    <d v="2026-06-10T00:00:00"/>
    <x v="4"/>
  </r>
  <r>
    <s v="ORD1241"/>
    <x v="6"/>
    <x v="1"/>
    <n v="1"/>
    <n v="17312.16"/>
    <n v="17312.16"/>
    <x v="3"/>
    <d v="2026-01-09T00:00:00"/>
    <x v="1"/>
  </r>
  <r>
    <s v="ORD1242"/>
    <x v="2"/>
    <x v="2"/>
    <n v="3"/>
    <n v="470.91"/>
    <n v="1412.73"/>
    <x v="2"/>
    <d v="2026-03-17T00:00:00"/>
    <x v="0"/>
  </r>
  <r>
    <s v="ORD1243"/>
    <x v="9"/>
    <x v="3"/>
    <n v="4"/>
    <n v="2336.88"/>
    <n v="9347.52"/>
    <x v="4"/>
    <d v="2026-05-19T00:00:00"/>
    <x v="3"/>
  </r>
  <r>
    <s v="ORD1244"/>
    <x v="9"/>
    <x v="3"/>
    <n v="5"/>
    <n v="2499.9"/>
    <n v="12499.5"/>
    <x v="0"/>
    <d v="2026-02-12T00:00:00"/>
    <x v="2"/>
  </r>
  <r>
    <s v="ORD1245"/>
    <x v="4"/>
    <x v="3"/>
    <n v="4"/>
    <n v="873.69"/>
    <n v="3494.76"/>
    <x v="0"/>
    <d v="2026-03-28T00:00:00"/>
    <x v="0"/>
  </r>
  <r>
    <s v="ORD1246"/>
    <x v="10"/>
    <x v="3"/>
    <n v="1"/>
    <n v="1986.34"/>
    <n v="1986.34"/>
    <x v="2"/>
    <d v="2026-02-06T00:00:00"/>
    <x v="2"/>
  </r>
  <r>
    <s v="ORD1247"/>
    <x v="10"/>
    <x v="3"/>
    <n v="2"/>
    <n v="2142.98"/>
    <n v="4285.96"/>
    <x v="8"/>
    <d v="2026-05-23T00:00:00"/>
    <x v="3"/>
  </r>
  <r>
    <s v="ORD1248"/>
    <x v="9"/>
    <x v="3"/>
    <n v="1"/>
    <n v="2644.28"/>
    <n v="2644.28"/>
    <x v="7"/>
    <d v="2026-03-09T00:00:00"/>
    <x v="0"/>
  </r>
  <r>
    <s v="ORD1249"/>
    <x v="12"/>
    <x v="4"/>
    <n v="1"/>
    <n v="4162.0200000000004"/>
    <n v="4162.0200000000004"/>
    <x v="0"/>
    <d v="2026-05-30T00:00:00"/>
    <x v="3"/>
  </r>
  <r>
    <s v="ORD1250"/>
    <x v="5"/>
    <x v="0"/>
    <n v="3"/>
    <n v="4607.42"/>
    <n v="13822.26"/>
    <x v="5"/>
    <d v="2026-05-01T00:00:00"/>
    <x v="3"/>
  </r>
  <r>
    <s v="ORD1251"/>
    <x v="13"/>
    <x v="1"/>
    <n v="5"/>
    <n v="59226.58"/>
    <n v="296132.90000000002"/>
    <x v="1"/>
    <d v="2026-03-25T00:00:00"/>
    <x v="0"/>
  </r>
  <r>
    <s v="ORD1252"/>
    <x v="2"/>
    <x v="2"/>
    <n v="2"/>
    <n v="463.29"/>
    <n v="926.58"/>
    <x v="3"/>
    <d v="2026-06-29T00:00:00"/>
    <x v="4"/>
  </r>
  <r>
    <s v="ORD1253"/>
    <x v="4"/>
    <x v="3"/>
    <n v="4"/>
    <n v="737.74"/>
    <n v="2950.96"/>
    <x v="7"/>
    <d v="2026-01-10T00:00:00"/>
    <x v="1"/>
  </r>
  <r>
    <s v="ORD1254"/>
    <x v="4"/>
    <x v="3"/>
    <n v="4"/>
    <n v="737.66"/>
    <n v="2950.64"/>
    <x v="5"/>
    <d v="2026-05-18T00:00:00"/>
    <x v="3"/>
  </r>
  <r>
    <s v="ORD1255"/>
    <x v="11"/>
    <x v="1"/>
    <n v="4"/>
    <n v="2179.6"/>
    <n v="8718.4"/>
    <x v="1"/>
    <d v="2026-04-18T00:00:00"/>
    <x v="5"/>
  </r>
  <r>
    <s v="ORD1256"/>
    <x v="2"/>
    <x v="2"/>
    <n v="2"/>
    <n v="484.69"/>
    <n v="969.38"/>
    <x v="2"/>
    <d v="2026-05-06T00:00:00"/>
    <x v="3"/>
  </r>
  <r>
    <s v="ORD1257"/>
    <x v="2"/>
    <x v="2"/>
    <n v="4"/>
    <n v="489.51"/>
    <n v="1958.04"/>
    <x v="0"/>
    <d v="2026-01-09T00:00:00"/>
    <x v="1"/>
  </r>
  <r>
    <s v="ORD1258"/>
    <x v="3"/>
    <x v="1"/>
    <n v="3"/>
    <n v="26416.71"/>
    <n v="79250.13"/>
    <x v="3"/>
    <d v="2026-03-02T00:00:00"/>
    <x v="0"/>
  </r>
  <r>
    <s v="ORD1259"/>
    <x v="7"/>
    <x v="4"/>
    <n v="3"/>
    <n v="5979.16"/>
    <n v="17937.48"/>
    <x v="6"/>
    <d v="2026-05-20T00:00:00"/>
    <x v="3"/>
  </r>
  <r>
    <s v="ORD1260"/>
    <x v="0"/>
    <x v="0"/>
    <n v="3"/>
    <n v="1641.8"/>
    <n v="4925.3999999999996"/>
    <x v="0"/>
    <d v="2026-02-18T00:00:00"/>
    <x v="2"/>
  </r>
  <r>
    <s v="ORD1261"/>
    <x v="6"/>
    <x v="1"/>
    <n v="4"/>
    <n v="16530.02"/>
    <n v="66120.08"/>
    <x v="5"/>
    <d v="2026-06-14T00:00:00"/>
    <x v="4"/>
  </r>
  <r>
    <s v="ORD1262"/>
    <x v="0"/>
    <x v="0"/>
    <n v="5"/>
    <n v="1969.59"/>
    <n v="9847.9499999999989"/>
    <x v="7"/>
    <d v="2026-03-27T00:00:00"/>
    <x v="0"/>
  </r>
  <r>
    <s v="ORD1263"/>
    <x v="1"/>
    <x v="1"/>
    <n v="2"/>
    <n v="1586.09"/>
    <n v="3172.18"/>
    <x v="5"/>
    <d v="2026-01-18T00:00:00"/>
    <x v="1"/>
  </r>
  <r>
    <s v="ORD1264"/>
    <x v="7"/>
    <x v="4"/>
    <n v="5"/>
    <n v="6119.3"/>
    <n v="30596.5"/>
    <x v="5"/>
    <d v="2026-03-01T00:00:00"/>
    <x v="0"/>
  </r>
  <r>
    <s v="ORD1265"/>
    <x v="9"/>
    <x v="3"/>
    <n v="2"/>
    <n v="2643.26"/>
    <n v="5286.52"/>
    <x v="9"/>
    <d v="2026-01-01T00:00:00"/>
    <x v="1"/>
  </r>
  <r>
    <s v="ORD1266"/>
    <x v="4"/>
    <x v="3"/>
    <n v="2"/>
    <n v="876.91"/>
    <n v="1753.82"/>
    <x v="1"/>
    <d v="2026-03-06T00:00:00"/>
    <x v="0"/>
  </r>
  <r>
    <s v="ORD1267"/>
    <x v="10"/>
    <x v="3"/>
    <n v="2"/>
    <n v="1843.05"/>
    <n v="3686.1"/>
    <x v="7"/>
    <d v="2026-02-03T00:00:00"/>
    <x v="2"/>
  </r>
  <r>
    <s v="ORD1268"/>
    <x v="13"/>
    <x v="1"/>
    <n v="3"/>
    <n v="58189.83"/>
    <n v="174569.49"/>
    <x v="5"/>
    <d v="2026-05-31T00:00:00"/>
    <x v="3"/>
  </r>
  <r>
    <s v="ORD1269"/>
    <x v="9"/>
    <x v="3"/>
    <n v="1"/>
    <n v="2336.19"/>
    <n v="2336.19"/>
    <x v="7"/>
    <d v="2026-02-02T00:00:00"/>
    <x v="2"/>
  </r>
  <r>
    <s v="ORD1270"/>
    <x v="3"/>
    <x v="1"/>
    <n v="4"/>
    <n v="28146.080000000002"/>
    <n v="112584.32000000001"/>
    <x v="2"/>
    <d v="2026-05-02T00:00:00"/>
    <x v="3"/>
  </r>
  <r>
    <s v="ORD1271"/>
    <x v="8"/>
    <x v="4"/>
    <n v="3"/>
    <n v="3509.27"/>
    <n v="10527.81"/>
    <x v="2"/>
    <d v="2026-04-26T00:00:00"/>
    <x v="5"/>
  </r>
  <r>
    <s v="ORD1272"/>
    <x v="12"/>
    <x v="4"/>
    <n v="2"/>
    <n v="4574.1499999999996"/>
    <n v="9148.2999999999993"/>
    <x v="7"/>
    <d v="2026-06-18T00:00:00"/>
    <x v="4"/>
  </r>
  <r>
    <s v="ORD1273"/>
    <x v="12"/>
    <x v="4"/>
    <n v="3"/>
    <n v="4164.76"/>
    <n v="12494.28"/>
    <x v="7"/>
    <d v="2026-01-16T00:00:00"/>
    <x v="1"/>
  </r>
  <r>
    <s v="ORD1274"/>
    <x v="8"/>
    <x v="4"/>
    <n v="4"/>
    <n v="3448.39"/>
    <n v="13793.56"/>
    <x v="2"/>
    <d v="2026-05-06T00:00:00"/>
    <x v="3"/>
  </r>
  <r>
    <s v="ORD1275"/>
    <x v="3"/>
    <x v="1"/>
    <n v="4"/>
    <n v="25611.55"/>
    <n v="102446.2"/>
    <x v="2"/>
    <d v="2026-03-24T00:00:00"/>
    <x v="0"/>
  </r>
  <r>
    <s v="ORD1276"/>
    <x v="2"/>
    <x v="2"/>
    <n v="2"/>
    <n v="410.91"/>
    <n v="821.82"/>
    <x v="0"/>
    <d v="2026-06-09T00:00:00"/>
    <x v="4"/>
  </r>
  <r>
    <s v="ORD1277"/>
    <x v="0"/>
    <x v="0"/>
    <n v="5"/>
    <n v="1817.41"/>
    <n v="9087.0500000000011"/>
    <x v="6"/>
    <d v="2026-04-08T00:00:00"/>
    <x v="5"/>
  </r>
  <r>
    <s v="ORD1278"/>
    <x v="2"/>
    <x v="2"/>
    <n v="5"/>
    <n v="431.54"/>
    <n v="2157.7000000000003"/>
    <x v="1"/>
    <d v="2026-06-04T00:00:00"/>
    <x v="4"/>
  </r>
  <r>
    <s v="ORD1279"/>
    <x v="5"/>
    <x v="0"/>
    <n v="1"/>
    <n v="5292.04"/>
    <n v="5292.04"/>
    <x v="2"/>
    <d v="2026-06-17T00:00:00"/>
    <x v="4"/>
  </r>
  <r>
    <s v="ORD1280"/>
    <x v="0"/>
    <x v="0"/>
    <n v="5"/>
    <n v="1879.5"/>
    <n v="9397.5"/>
    <x v="5"/>
    <d v="2026-04-21T00:00:00"/>
    <x v="5"/>
  </r>
  <r>
    <s v="ORD1281"/>
    <x v="8"/>
    <x v="4"/>
    <n v="2"/>
    <n v="3439.67"/>
    <n v="6879.34"/>
    <x v="3"/>
    <d v="2026-04-13T00:00:00"/>
    <x v="5"/>
  </r>
  <r>
    <s v="ORD1282"/>
    <x v="5"/>
    <x v="0"/>
    <n v="1"/>
    <n v="4811.59"/>
    <n v="4811.59"/>
    <x v="6"/>
    <d v="2026-06-20T00:00:00"/>
    <x v="4"/>
  </r>
  <r>
    <s v="ORD1283"/>
    <x v="4"/>
    <x v="3"/>
    <n v="3"/>
    <n v="871.48"/>
    <n v="2614.44"/>
    <x v="3"/>
    <d v="2026-01-18T00:00:00"/>
    <x v="1"/>
  </r>
  <r>
    <s v="ORD1284"/>
    <x v="6"/>
    <x v="1"/>
    <n v="1"/>
    <n v="16535.63"/>
    <n v="16535.63"/>
    <x v="2"/>
    <d v="2026-04-06T00:00:00"/>
    <x v="5"/>
  </r>
  <r>
    <s v="ORD1285"/>
    <x v="10"/>
    <x v="3"/>
    <n v="2"/>
    <n v="2021.54"/>
    <n v="4043.08"/>
    <x v="9"/>
    <d v="2026-05-24T00:00:00"/>
    <x v="3"/>
  </r>
  <r>
    <s v="ORD1286"/>
    <x v="12"/>
    <x v="4"/>
    <n v="3"/>
    <n v="4342.8100000000004"/>
    <n v="13028.43"/>
    <x v="8"/>
    <d v="2026-04-01T00:00:00"/>
    <x v="5"/>
  </r>
  <r>
    <s v="ORD1287"/>
    <x v="7"/>
    <x v="4"/>
    <n v="4"/>
    <n v="6978.52"/>
    <n v="27914.080000000002"/>
    <x v="7"/>
    <d v="2026-03-15T00:00:00"/>
    <x v="0"/>
  </r>
  <r>
    <s v="ORD1288"/>
    <x v="2"/>
    <x v="2"/>
    <n v="3"/>
    <n v="436.65"/>
    <n v="1309.9499999999998"/>
    <x v="9"/>
    <d v="2026-05-10T00:00:00"/>
    <x v="3"/>
  </r>
  <r>
    <s v="ORD1289"/>
    <x v="1"/>
    <x v="1"/>
    <n v="2"/>
    <n v="1547.02"/>
    <n v="3094.04"/>
    <x v="5"/>
    <d v="2026-01-28T00:00:00"/>
    <x v="1"/>
  </r>
  <r>
    <s v="ORD1290"/>
    <x v="9"/>
    <x v="3"/>
    <n v="5"/>
    <n v="2432.81"/>
    <n v="12164.05"/>
    <x v="0"/>
    <d v="2026-05-27T00:00:00"/>
    <x v="3"/>
  </r>
  <r>
    <s v="ORD1291"/>
    <x v="1"/>
    <x v="1"/>
    <n v="4"/>
    <n v="1603.55"/>
    <n v="6414.2"/>
    <x v="9"/>
    <d v="2026-06-07T00:00:00"/>
    <x v="4"/>
  </r>
  <r>
    <s v="ORD1292"/>
    <x v="0"/>
    <x v="0"/>
    <n v="5"/>
    <n v="1629.45"/>
    <n v="8147.25"/>
    <x v="0"/>
    <d v="2026-01-08T00:00:00"/>
    <x v="1"/>
  </r>
  <r>
    <s v="ORD1293"/>
    <x v="11"/>
    <x v="1"/>
    <n v="3"/>
    <n v="2289.19"/>
    <n v="6867.57"/>
    <x v="0"/>
    <d v="2026-03-28T00:00:00"/>
    <x v="0"/>
  </r>
  <r>
    <s v="ORD1294"/>
    <x v="9"/>
    <x v="3"/>
    <n v="1"/>
    <n v="2339.77"/>
    <n v="2339.77"/>
    <x v="4"/>
    <d v="2026-05-25T00:00:00"/>
    <x v="3"/>
  </r>
  <r>
    <s v="ORD1295"/>
    <x v="0"/>
    <x v="0"/>
    <n v="4"/>
    <n v="1645.05"/>
    <n v="6580.2"/>
    <x v="7"/>
    <d v="2026-01-24T00:00:00"/>
    <x v="1"/>
  </r>
  <r>
    <s v="ORD1296"/>
    <x v="3"/>
    <x v="1"/>
    <n v="5"/>
    <n v="26404.74"/>
    <n v="132023.70000000001"/>
    <x v="8"/>
    <d v="2026-04-27T00:00:00"/>
    <x v="5"/>
  </r>
  <r>
    <s v="ORD1297"/>
    <x v="9"/>
    <x v="3"/>
    <n v="2"/>
    <n v="2434.0500000000002"/>
    <n v="4868.1000000000004"/>
    <x v="6"/>
    <d v="2026-05-26T00:00:00"/>
    <x v="3"/>
  </r>
  <r>
    <s v="ORD1298"/>
    <x v="2"/>
    <x v="2"/>
    <n v="1"/>
    <n v="484.5"/>
    <n v="484.5"/>
    <x v="4"/>
    <d v="2026-02-10T00:00:00"/>
    <x v="2"/>
  </r>
  <r>
    <s v="ORD1299"/>
    <x v="10"/>
    <x v="3"/>
    <n v="5"/>
    <n v="1819"/>
    <n v="9095"/>
    <x v="2"/>
    <d v="2026-03-11T00:00:00"/>
    <x v="0"/>
  </r>
  <r>
    <s v="ORD1300"/>
    <x v="8"/>
    <x v="4"/>
    <n v="4"/>
    <n v="3489.96"/>
    <n v="13959.84"/>
    <x v="3"/>
    <d v="2026-04-17T00:00:00"/>
    <x v="5"/>
  </r>
  <r>
    <s v="ORD1301"/>
    <x v="4"/>
    <x v="3"/>
    <n v="2"/>
    <n v="839.74"/>
    <n v="1679.48"/>
    <x v="2"/>
    <d v="2026-03-30T00:00:00"/>
    <x v="0"/>
  </r>
  <r>
    <s v="ORD1302"/>
    <x v="5"/>
    <x v="0"/>
    <n v="1"/>
    <n v="4782.29"/>
    <n v="4782.29"/>
    <x v="9"/>
    <d v="2026-05-05T00:00:00"/>
    <x v="3"/>
  </r>
  <r>
    <s v="ORD1303"/>
    <x v="12"/>
    <x v="4"/>
    <n v="3"/>
    <n v="3818.15"/>
    <n v="11454.45"/>
    <x v="8"/>
    <d v="2026-06-03T00:00:00"/>
    <x v="4"/>
  </r>
  <r>
    <s v="ORD1304"/>
    <x v="13"/>
    <x v="1"/>
    <n v="1"/>
    <n v="51748.65"/>
    <n v="51748.65"/>
    <x v="5"/>
    <d v="2026-02-05T00:00:00"/>
    <x v="2"/>
  </r>
  <r>
    <s v="ORD1305"/>
    <x v="10"/>
    <x v="3"/>
    <n v="3"/>
    <n v="1914.82"/>
    <n v="5744.46"/>
    <x v="2"/>
    <d v="2026-01-02T00:00:00"/>
    <x v="1"/>
  </r>
  <r>
    <s v="ORD1306"/>
    <x v="8"/>
    <x v="4"/>
    <n v="4"/>
    <n v="3272.99"/>
    <n v="13091.96"/>
    <x v="8"/>
    <d v="2026-05-17T00:00:00"/>
    <x v="3"/>
  </r>
  <r>
    <s v="ORD1307"/>
    <x v="3"/>
    <x v="1"/>
    <n v="2"/>
    <n v="28001.47"/>
    <n v="56002.94"/>
    <x v="6"/>
    <d v="2026-01-19T00:00:00"/>
    <x v="1"/>
  </r>
  <r>
    <s v="ORD1308"/>
    <x v="5"/>
    <x v="0"/>
    <n v="1"/>
    <n v="4935.2299999999996"/>
    <n v="4935.2299999999996"/>
    <x v="3"/>
    <d v="2026-01-20T00:00:00"/>
    <x v="1"/>
  </r>
  <r>
    <s v="ORD1309"/>
    <x v="7"/>
    <x v="4"/>
    <n v="3"/>
    <n v="6598.49"/>
    <n v="19795.47"/>
    <x v="9"/>
    <d v="2026-04-14T00:00:00"/>
    <x v="5"/>
  </r>
  <r>
    <s v="ORD1310"/>
    <x v="3"/>
    <x v="1"/>
    <n v="4"/>
    <n v="26821.29"/>
    <n v="107285.16"/>
    <x v="8"/>
    <d v="2026-01-06T00:00:00"/>
    <x v="1"/>
  </r>
  <r>
    <s v="ORD1311"/>
    <x v="9"/>
    <x v="3"/>
    <n v="2"/>
    <n v="2649.6"/>
    <n v="5299.2"/>
    <x v="9"/>
    <d v="2026-04-28T00:00:00"/>
    <x v="5"/>
  </r>
  <r>
    <s v="ORD1312"/>
    <x v="7"/>
    <x v="4"/>
    <n v="3"/>
    <n v="5964.57"/>
    <n v="17893.71"/>
    <x v="2"/>
    <d v="2026-03-04T00:00:00"/>
    <x v="0"/>
  </r>
  <r>
    <s v="ORD1313"/>
    <x v="5"/>
    <x v="0"/>
    <n v="5"/>
    <n v="4899.47"/>
    <n v="24497.350000000002"/>
    <x v="2"/>
    <d v="2026-04-12T00:00:00"/>
    <x v="5"/>
  </r>
  <r>
    <s v="ORD1314"/>
    <x v="7"/>
    <x v="4"/>
    <n v="3"/>
    <n v="6819.55"/>
    <n v="20458.650000000001"/>
    <x v="5"/>
    <d v="2026-03-27T00:00:00"/>
    <x v="0"/>
  </r>
  <r>
    <s v="ORD1315"/>
    <x v="10"/>
    <x v="3"/>
    <n v="2"/>
    <n v="1829.64"/>
    <n v="3659.28"/>
    <x v="2"/>
    <d v="2026-05-16T00:00:00"/>
    <x v="3"/>
  </r>
  <r>
    <s v="ORD1316"/>
    <x v="12"/>
    <x v="4"/>
    <n v="2"/>
    <n v="4540.9799999999996"/>
    <n v="9081.9599999999991"/>
    <x v="6"/>
    <d v="2026-03-31T00:00:00"/>
    <x v="0"/>
  </r>
  <r>
    <s v="ORD1317"/>
    <x v="3"/>
    <x v="1"/>
    <n v="2"/>
    <n v="26523.11"/>
    <n v="53046.22"/>
    <x v="4"/>
    <d v="2026-03-07T00:00:00"/>
    <x v="0"/>
  </r>
  <r>
    <s v="ORD1318"/>
    <x v="1"/>
    <x v="1"/>
    <n v="2"/>
    <n v="1530.72"/>
    <n v="3061.44"/>
    <x v="2"/>
    <d v="2026-02-15T00:00:00"/>
    <x v="2"/>
  </r>
  <r>
    <s v="ORD1319"/>
    <x v="10"/>
    <x v="3"/>
    <n v="4"/>
    <n v="1984.59"/>
    <n v="7938.36"/>
    <x v="9"/>
    <d v="2026-05-29T00:00:00"/>
    <x v="3"/>
  </r>
  <r>
    <s v="ORD1320"/>
    <x v="8"/>
    <x v="4"/>
    <n v="5"/>
    <n v="3600.09"/>
    <n v="18000.45"/>
    <x v="9"/>
    <d v="2026-03-24T00:00:00"/>
    <x v="0"/>
  </r>
  <r>
    <s v="ORD1321"/>
    <x v="7"/>
    <x v="4"/>
    <n v="3"/>
    <n v="6046.24"/>
    <n v="18138.72"/>
    <x v="2"/>
    <d v="2026-05-01T00:00:00"/>
    <x v="3"/>
  </r>
  <r>
    <s v="ORD1322"/>
    <x v="8"/>
    <x v="4"/>
    <n v="3"/>
    <n v="3707.43"/>
    <n v="11122.289999999999"/>
    <x v="9"/>
    <d v="2026-01-15T00:00:00"/>
    <x v="1"/>
  </r>
  <r>
    <s v="ORD1323"/>
    <x v="9"/>
    <x v="3"/>
    <n v="5"/>
    <n v="2286.1799999999998"/>
    <n v="11430.9"/>
    <x v="3"/>
    <d v="2026-04-26T00:00:00"/>
    <x v="5"/>
  </r>
  <r>
    <s v="ORD1324"/>
    <x v="13"/>
    <x v="1"/>
    <n v="1"/>
    <n v="53556.11"/>
    <n v="53556.11"/>
    <x v="0"/>
    <d v="2026-01-20T00:00:00"/>
    <x v="1"/>
  </r>
  <r>
    <s v="ORD1325"/>
    <x v="0"/>
    <x v="0"/>
    <n v="1"/>
    <n v="1841.4"/>
    <n v="1841.4"/>
    <x v="1"/>
    <d v="2026-04-09T00:00:00"/>
    <x v="5"/>
  </r>
  <r>
    <s v="ORD1326"/>
    <x v="8"/>
    <x v="4"/>
    <n v="5"/>
    <n v="3538.02"/>
    <n v="17690.099999999999"/>
    <x v="7"/>
    <d v="2026-04-26T00:00:00"/>
    <x v="5"/>
  </r>
  <r>
    <s v="ORD1327"/>
    <x v="10"/>
    <x v="3"/>
    <n v="5"/>
    <n v="2059.6999999999998"/>
    <n v="10298.5"/>
    <x v="6"/>
    <d v="2026-06-04T00:00:00"/>
    <x v="4"/>
  </r>
  <r>
    <s v="ORD1328"/>
    <x v="8"/>
    <x v="4"/>
    <n v="5"/>
    <n v="3255.6"/>
    <n v="16278"/>
    <x v="7"/>
    <d v="2026-04-26T00:00:00"/>
    <x v="5"/>
  </r>
  <r>
    <s v="ORD1329"/>
    <x v="6"/>
    <x v="1"/>
    <n v="3"/>
    <n v="19736.59"/>
    <n v="59209.770000000004"/>
    <x v="2"/>
    <d v="2026-05-10T00:00:00"/>
    <x v="3"/>
  </r>
  <r>
    <s v="ORD1330"/>
    <x v="0"/>
    <x v="0"/>
    <n v="2"/>
    <n v="1634.09"/>
    <n v="3268.18"/>
    <x v="3"/>
    <d v="2026-04-23T00:00:00"/>
    <x v="5"/>
  </r>
  <r>
    <s v="ORD1331"/>
    <x v="12"/>
    <x v="4"/>
    <n v="5"/>
    <n v="4292.24"/>
    <n v="21461.199999999997"/>
    <x v="6"/>
    <d v="2026-04-06T00:00:00"/>
    <x v="5"/>
  </r>
  <r>
    <s v="ORD1332"/>
    <x v="4"/>
    <x v="3"/>
    <n v="4"/>
    <n v="784.42"/>
    <n v="3137.68"/>
    <x v="6"/>
    <d v="2026-06-23T00:00:00"/>
    <x v="4"/>
  </r>
  <r>
    <s v="ORD1333"/>
    <x v="2"/>
    <x v="2"/>
    <n v="1"/>
    <n v="476.03"/>
    <n v="476.03"/>
    <x v="6"/>
    <d v="2026-01-17T00:00:00"/>
    <x v="1"/>
  </r>
  <r>
    <s v="ORD1334"/>
    <x v="9"/>
    <x v="3"/>
    <n v="1"/>
    <n v="2527.9699999999998"/>
    <n v="2527.9699999999998"/>
    <x v="8"/>
    <d v="2026-03-14T00:00:00"/>
    <x v="0"/>
  </r>
  <r>
    <s v="ORD1335"/>
    <x v="4"/>
    <x v="3"/>
    <n v="5"/>
    <n v="858.65"/>
    <n v="4293.25"/>
    <x v="6"/>
    <d v="2026-01-21T00:00:00"/>
    <x v="1"/>
  </r>
  <r>
    <s v="ORD1336"/>
    <x v="2"/>
    <x v="2"/>
    <n v="2"/>
    <n v="487.51"/>
    <n v="975.02"/>
    <x v="0"/>
    <d v="2026-06-17T00:00:00"/>
    <x v="4"/>
  </r>
  <r>
    <s v="ORD1337"/>
    <x v="3"/>
    <x v="1"/>
    <n v="4"/>
    <n v="25922.13"/>
    <n v="103688.52"/>
    <x v="2"/>
    <d v="2026-03-21T00:00:00"/>
    <x v="0"/>
  </r>
  <r>
    <s v="ORD1338"/>
    <x v="12"/>
    <x v="4"/>
    <n v="4"/>
    <n v="4320.53"/>
    <n v="17282.12"/>
    <x v="6"/>
    <d v="2026-02-02T00:00:00"/>
    <x v="2"/>
  </r>
  <r>
    <s v="ORD1339"/>
    <x v="0"/>
    <x v="0"/>
    <n v="5"/>
    <n v="1653.64"/>
    <n v="8268.2000000000007"/>
    <x v="8"/>
    <d v="2026-05-11T00:00:00"/>
    <x v="3"/>
  </r>
  <r>
    <s v="ORD1340"/>
    <x v="9"/>
    <x v="3"/>
    <n v="1"/>
    <n v="2430.33"/>
    <n v="2430.33"/>
    <x v="4"/>
    <d v="2026-02-24T00:00:00"/>
    <x v="2"/>
  </r>
  <r>
    <s v="ORD1341"/>
    <x v="9"/>
    <x v="3"/>
    <n v="4"/>
    <n v="2345.06"/>
    <n v="9380.24"/>
    <x v="4"/>
    <d v="2026-02-09T00:00:00"/>
    <x v="2"/>
  </r>
  <r>
    <s v="ORD1342"/>
    <x v="6"/>
    <x v="1"/>
    <n v="3"/>
    <n v="19239.939999999999"/>
    <n v="57719.819999999992"/>
    <x v="2"/>
    <d v="2026-05-10T00:00:00"/>
    <x v="3"/>
  </r>
  <r>
    <s v="ORD1343"/>
    <x v="10"/>
    <x v="3"/>
    <n v="5"/>
    <n v="2132.98"/>
    <n v="10664.9"/>
    <x v="1"/>
    <d v="2026-01-10T00:00:00"/>
    <x v="1"/>
  </r>
  <r>
    <s v="ORD1344"/>
    <x v="0"/>
    <x v="0"/>
    <n v="3"/>
    <n v="1935.5"/>
    <n v="5806.5"/>
    <x v="9"/>
    <d v="2026-02-03T00:00:00"/>
    <x v="2"/>
  </r>
  <r>
    <s v="ORD1345"/>
    <x v="2"/>
    <x v="2"/>
    <n v="4"/>
    <n v="418.88"/>
    <n v="1675.52"/>
    <x v="4"/>
    <d v="2026-06-27T00:00:00"/>
    <x v="4"/>
  </r>
  <r>
    <s v="ORD1346"/>
    <x v="10"/>
    <x v="3"/>
    <n v="5"/>
    <n v="2122.56"/>
    <n v="10612.8"/>
    <x v="4"/>
    <d v="2026-04-23T00:00:00"/>
    <x v="5"/>
  </r>
  <r>
    <s v="ORD1347"/>
    <x v="13"/>
    <x v="1"/>
    <n v="4"/>
    <n v="53507.29"/>
    <n v="214029.16"/>
    <x v="5"/>
    <d v="2026-04-24T00:00:00"/>
    <x v="5"/>
  </r>
  <r>
    <s v="ORD1348"/>
    <x v="2"/>
    <x v="2"/>
    <n v="3"/>
    <n v="472.72"/>
    <n v="1418.16"/>
    <x v="3"/>
    <d v="2026-03-01T00:00:00"/>
    <x v="0"/>
  </r>
  <r>
    <s v="ORD1349"/>
    <x v="12"/>
    <x v="4"/>
    <n v="2"/>
    <n v="4039.95"/>
    <n v="8079.9"/>
    <x v="3"/>
    <d v="2026-02-19T00:00:00"/>
    <x v="2"/>
  </r>
  <r>
    <s v="ORD1350"/>
    <x v="9"/>
    <x v="3"/>
    <n v="5"/>
    <n v="2741.12"/>
    <n v="13705.599999999999"/>
    <x v="3"/>
    <d v="2026-03-14T00:00:00"/>
    <x v="0"/>
  </r>
  <r>
    <s v="ORD1351"/>
    <x v="10"/>
    <x v="3"/>
    <n v="4"/>
    <n v="2000.16"/>
    <n v="8000.64"/>
    <x v="8"/>
    <d v="2026-02-11T00:00:00"/>
    <x v="2"/>
  </r>
  <r>
    <s v="ORD1352"/>
    <x v="7"/>
    <x v="4"/>
    <n v="2"/>
    <n v="6891.64"/>
    <n v="13783.28"/>
    <x v="4"/>
    <d v="2026-03-06T00:00:00"/>
    <x v="0"/>
  </r>
  <r>
    <s v="ORD1353"/>
    <x v="13"/>
    <x v="1"/>
    <n v="4"/>
    <n v="59115.29"/>
    <n v="236461.16"/>
    <x v="1"/>
    <d v="2026-01-27T00:00:00"/>
    <x v="1"/>
  </r>
  <r>
    <s v="ORD1354"/>
    <x v="3"/>
    <x v="1"/>
    <n v="5"/>
    <n v="29966.53"/>
    <n v="149832.65"/>
    <x v="0"/>
    <d v="2026-01-22T00:00:00"/>
    <x v="1"/>
  </r>
  <r>
    <s v="ORD1355"/>
    <x v="10"/>
    <x v="3"/>
    <n v="2"/>
    <n v="1908.16"/>
    <n v="3816.32"/>
    <x v="1"/>
    <d v="2026-02-07T00:00:00"/>
    <x v="2"/>
  </r>
  <r>
    <s v="ORD1356"/>
    <x v="7"/>
    <x v="4"/>
    <n v="4"/>
    <n v="5969.23"/>
    <n v="23876.92"/>
    <x v="5"/>
    <d v="2026-04-26T00:00:00"/>
    <x v="5"/>
  </r>
  <r>
    <s v="ORD1357"/>
    <x v="9"/>
    <x v="3"/>
    <n v="1"/>
    <n v="2456.4699999999998"/>
    <n v="2456.4699999999998"/>
    <x v="8"/>
    <d v="2026-05-09T00:00:00"/>
    <x v="3"/>
  </r>
  <r>
    <s v="ORD1358"/>
    <x v="9"/>
    <x v="3"/>
    <n v="2"/>
    <n v="2442.11"/>
    <n v="4884.22"/>
    <x v="2"/>
    <d v="2026-04-06T00:00:00"/>
    <x v="5"/>
  </r>
  <r>
    <s v="ORD1359"/>
    <x v="1"/>
    <x v="1"/>
    <n v="1"/>
    <n v="1445.61"/>
    <n v="1445.61"/>
    <x v="2"/>
    <d v="2026-06-16T00:00:00"/>
    <x v="4"/>
  </r>
  <r>
    <s v="ORD1360"/>
    <x v="9"/>
    <x v="3"/>
    <n v="2"/>
    <n v="2317.87"/>
    <n v="4635.74"/>
    <x v="0"/>
    <d v="2026-05-01T00:00:00"/>
    <x v="3"/>
  </r>
  <r>
    <s v="ORD1361"/>
    <x v="3"/>
    <x v="1"/>
    <n v="2"/>
    <n v="29449.51"/>
    <n v="58899.02"/>
    <x v="3"/>
    <d v="2026-04-25T00:00:00"/>
    <x v="5"/>
  </r>
  <r>
    <s v="ORD1362"/>
    <x v="2"/>
    <x v="2"/>
    <n v="1"/>
    <n v="486.53"/>
    <n v="486.53"/>
    <x v="7"/>
    <d v="2026-03-07T00:00:00"/>
    <x v="0"/>
  </r>
  <r>
    <s v="ORD1363"/>
    <x v="1"/>
    <x v="1"/>
    <n v="2"/>
    <n v="1514.64"/>
    <n v="3029.28"/>
    <x v="9"/>
    <d v="2026-05-16T00:00:00"/>
    <x v="3"/>
  </r>
  <r>
    <s v="ORD1364"/>
    <x v="5"/>
    <x v="0"/>
    <n v="1"/>
    <n v="5275.12"/>
    <n v="5275.12"/>
    <x v="5"/>
    <d v="2026-03-19T00:00:00"/>
    <x v="0"/>
  </r>
  <r>
    <s v="ORD1365"/>
    <x v="6"/>
    <x v="1"/>
    <n v="1"/>
    <n v="17058.38"/>
    <n v="17058.38"/>
    <x v="9"/>
    <d v="2026-04-28T00:00:00"/>
    <x v="5"/>
  </r>
  <r>
    <s v="ORD1366"/>
    <x v="6"/>
    <x v="1"/>
    <n v="1"/>
    <n v="19212.080000000002"/>
    <n v="19212.080000000002"/>
    <x v="3"/>
    <d v="2026-06-02T00:00:00"/>
    <x v="4"/>
  </r>
  <r>
    <s v="ORD1367"/>
    <x v="12"/>
    <x v="4"/>
    <n v="1"/>
    <n v="4310.84"/>
    <n v="4310.84"/>
    <x v="9"/>
    <d v="2026-03-03T00:00:00"/>
    <x v="0"/>
  </r>
  <r>
    <s v="ORD1368"/>
    <x v="3"/>
    <x v="1"/>
    <n v="2"/>
    <n v="26831.119999999999"/>
    <n v="53662.239999999998"/>
    <x v="7"/>
    <d v="2026-06-07T00:00:00"/>
    <x v="4"/>
  </r>
  <r>
    <s v="ORD1369"/>
    <x v="9"/>
    <x v="3"/>
    <n v="2"/>
    <n v="2534.3200000000002"/>
    <n v="5068.6400000000003"/>
    <x v="4"/>
    <d v="2026-06-20T00:00:00"/>
    <x v="4"/>
  </r>
  <r>
    <s v="ORD1370"/>
    <x v="0"/>
    <x v="0"/>
    <n v="1"/>
    <n v="1808.45"/>
    <n v="1808.45"/>
    <x v="6"/>
    <d v="2026-01-18T00:00:00"/>
    <x v="1"/>
  </r>
  <r>
    <s v="ORD1371"/>
    <x v="12"/>
    <x v="4"/>
    <n v="5"/>
    <n v="4206.16"/>
    <n v="21030.799999999999"/>
    <x v="1"/>
    <d v="2026-05-22T00:00:00"/>
    <x v="3"/>
  </r>
  <r>
    <s v="ORD1372"/>
    <x v="13"/>
    <x v="1"/>
    <n v="4"/>
    <n v="59106.65"/>
    <n v="236426.6"/>
    <x v="7"/>
    <d v="2026-06-12T00:00:00"/>
    <x v="4"/>
  </r>
  <r>
    <s v="ORD1373"/>
    <x v="5"/>
    <x v="0"/>
    <n v="3"/>
    <n v="4752.7"/>
    <n v="14258.099999999999"/>
    <x v="7"/>
    <d v="2026-04-02T00:00:00"/>
    <x v="5"/>
  </r>
  <r>
    <s v="ORD1374"/>
    <x v="10"/>
    <x v="3"/>
    <n v="1"/>
    <n v="1936.95"/>
    <n v="1936.95"/>
    <x v="2"/>
    <d v="2026-05-29T00:00:00"/>
    <x v="3"/>
  </r>
  <r>
    <s v="ORD1375"/>
    <x v="3"/>
    <x v="1"/>
    <n v="3"/>
    <n v="25947.09"/>
    <n v="77841.27"/>
    <x v="6"/>
    <d v="2026-05-20T00:00:00"/>
    <x v="3"/>
  </r>
  <r>
    <s v="ORD1376"/>
    <x v="9"/>
    <x v="3"/>
    <n v="2"/>
    <n v="2664.13"/>
    <n v="5328.26"/>
    <x v="3"/>
    <d v="2026-06-28T00:00:00"/>
    <x v="4"/>
  </r>
  <r>
    <s v="ORD1377"/>
    <x v="8"/>
    <x v="4"/>
    <n v="2"/>
    <n v="3718.05"/>
    <n v="7436.1"/>
    <x v="2"/>
    <d v="2026-04-28T00:00:00"/>
    <x v="5"/>
  </r>
  <r>
    <s v="ORD1378"/>
    <x v="13"/>
    <x v="1"/>
    <n v="3"/>
    <n v="51717.5"/>
    <n v="155152.5"/>
    <x v="5"/>
    <d v="2026-01-11T00:00:00"/>
    <x v="1"/>
  </r>
  <r>
    <s v="ORD1379"/>
    <x v="9"/>
    <x v="3"/>
    <n v="3"/>
    <n v="2506.69"/>
    <n v="7520.07"/>
    <x v="1"/>
    <d v="2026-05-02T00:00:00"/>
    <x v="3"/>
  </r>
  <r>
    <s v="ORD1380"/>
    <x v="4"/>
    <x v="3"/>
    <n v="1"/>
    <n v="839.48"/>
    <n v="839.48"/>
    <x v="5"/>
    <d v="2026-03-15T00:00:00"/>
    <x v="0"/>
  </r>
  <r>
    <s v="ORD1381"/>
    <x v="9"/>
    <x v="3"/>
    <n v="1"/>
    <n v="2681.83"/>
    <n v="2681.83"/>
    <x v="6"/>
    <d v="2026-03-11T00:00:00"/>
    <x v="0"/>
  </r>
  <r>
    <s v="ORD1382"/>
    <x v="6"/>
    <x v="1"/>
    <n v="3"/>
    <n v="17773.02"/>
    <n v="53319.06"/>
    <x v="8"/>
    <d v="2026-04-23T00:00:00"/>
    <x v="5"/>
  </r>
  <r>
    <s v="ORD1383"/>
    <x v="5"/>
    <x v="0"/>
    <n v="3"/>
    <n v="5472.63"/>
    <n v="16417.89"/>
    <x v="3"/>
    <d v="2026-06-27T00:00:00"/>
    <x v="4"/>
  </r>
  <r>
    <s v="ORD1384"/>
    <x v="8"/>
    <x v="4"/>
    <n v="3"/>
    <n v="3797.02"/>
    <n v="11391.06"/>
    <x v="1"/>
    <d v="2026-03-10T00:00:00"/>
    <x v="0"/>
  </r>
  <r>
    <s v="ORD1385"/>
    <x v="10"/>
    <x v="3"/>
    <n v="1"/>
    <n v="2089.79"/>
    <n v="2089.79"/>
    <x v="2"/>
    <d v="2026-04-21T00:00:00"/>
    <x v="5"/>
  </r>
  <r>
    <s v="ORD1386"/>
    <x v="2"/>
    <x v="2"/>
    <n v="2"/>
    <n v="454.09"/>
    <n v="908.18"/>
    <x v="6"/>
    <d v="2026-01-27T00:00:00"/>
    <x v="1"/>
  </r>
  <r>
    <s v="ORD1387"/>
    <x v="6"/>
    <x v="1"/>
    <n v="3"/>
    <n v="18579.310000000001"/>
    <n v="55737.930000000008"/>
    <x v="0"/>
    <d v="2026-04-25T00:00:00"/>
    <x v="5"/>
  </r>
  <r>
    <s v="ORD1388"/>
    <x v="2"/>
    <x v="2"/>
    <n v="4"/>
    <n v="420"/>
    <n v="1680"/>
    <x v="3"/>
    <d v="2026-03-31T00:00:00"/>
    <x v="0"/>
  </r>
  <r>
    <s v="ORD1389"/>
    <x v="8"/>
    <x v="4"/>
    <n v="1"/>
    <n v="3658.77"/>
    <n v="3658.77"/>
    <x v="6"/>
    <d v="2026-06-07T00:00:00"/>
    <x v="4"/>
  </r>
  <r>
    <s v="ORD1390"/>
    <x v="5"/>
    <x v="0"/>
    <n v="3"/>
    <n v="5138.4399999999996"/>
    <n v="15415.32"/>
    <x v="7"/>
    <d v="2026-01-20T00:00:00"/>
    <x v="1"/>
  </r>
  <r>
    <s v="ORD1391"/>
    <x v="0"/>
    <x v="0"/>
    <n v="4"/>
    <n v="1750.79"/>
    <n v="7003.16"/>
    <x v="4"/>
    <d v="2026-01-08T00:00:00"/>
    <x v="1"/>
  </r>
  <r>
    <s v="ORD1392"/>
    <x v="11"/>
    <x v="1"/>
    <n v="5"/>
    <n v="2278.36"/>
    <n v="11391.800000000001"/>
    <x v="3"/>
    <d v="2026-01-09T00:00:00"/>
    <x v="1"/>
  </r>
  <r>
    <s v="ORD1393"/>
    <x v="11"/>
    <x v="1"/>
    <n v="1"/>
    <n v="2083.84"/>
    <n v="2083.84"/>
    <x v="6"/>
    <d v="2026-04-03T00:00:00"/>
    <x v="5"/>
  </r>
  <r>
    <s v="ORD1394"/>
    <x v="5"/>
    <x v="0"/>
    <n v="5"/>
    <n v="4531.4799999999996"/>
    <n v="22657.399999999998"/>
    <x v="4"/>
    <d v="2026-06-23T00:00:00"/>
    <x v="4"/>
  </r>
  <r>
    <s v="ORD1395"/>
    <x v="8"/>
    <x v="4"/>
    <n v="3"/>
    <n v="3410.41"/>
    <n v="10231.23"/>
    <x v="2"/>
    <d v="2026-05-27T00:00:00"/>
    <x v="3"/>
  </r>
  <r>
    <s v="ORD1396"/>
    <x v="11"/>
    <x v="1"/>
    <n v="5"/>
    <n v="2141.46"/>
    <n v="10707.3"/>
    <x v="6"/>
    <d v="2026-06-16T00:00:00"/>
    <x v="4"/>
  </r>
  <r>
    <s v="ORD1397"/>
    <x v="4"/>
    <x v="3"/>
    <n v="2"/>
    <n v="872.59"/>
    <n v="1745.18"/>
    <x v="7"/>
    <d v="2026-02-17T00:00:00"/>
    <x v="2"/>
  </r>
  <r>
    <s v="ORD1398"/>
    <x v="8"/>
    <x v="4"/>
    <n v="5"/>
    <n v="3420.89"/>
    <n v="17104.45"/>
    <x v="1"/>
    <d v="2026-01-31T00:00:00"/>
    <x v="1"/>
  </r>
  <r>
    <s v="ORD1399"/>
    <x v="4"/>
    <x v="3"/>
    <n v="3"/>
    <n v="831.61"/>
    <n v="2494.83"/>
    <x v="5"/>
    <d v="2026-06-06T00:00:00"/>
    <x v="4"/>
  </r>
  <r>
    <s v="ORD1400"/>
    <x v="4"/>
    <x v="3"/>
    <n v="4"/>
    <n v="751.09"/>
    <n v="3004.36"/>
    <x v="4"/>
    <d v="2026-01-19T00:00:00"/>
    <x v="1"/>
  </r>
  <r>
    <s v="ORD1401"/>
    <x v="8"/>
    <x v="4"/>
    <n v="2"/>
    <n v="3779.08"/>
    <n v="7558.16"/>
    <x v="3"/>
    <d v="2026-01-23T00:00:00"/>
    <x v="1"/>
  </r>
  <r>
    <s v="ORD1402"/>
    <x v="10"/>
    <x v="3"/>
    <n v="3"/>
    <n v="2066.1"/>
    <n v="6198.2999999999993"/>
    <x v="2"/>
    <d v="2026-05-21T00:00:00"/>
    <x v="3"/>
  </r>
  <r>
    <s v="ORD1403"/>
    <x v="12"/>
    <x v="4"/>
    <n v="3"/>
    <n v="4528.72"/>
    <n v="13586.16"/>
    <x v="4"/>
    <d v="2026-06-29T00:00:00"/>
    <x v="4"/>
  </r>
  <r>
    <s v="ORD1404"/>
    <x v="0"/>
    <x v="0"/>
    <n v="2"/>
    <n v="1905.73"/>
    <n v="3811.46"/>
    <x v="1"/>
    <d v="2026-02-27T00:00:00"/>
    <x v="2"/>
  </r>
  <r>
    <s v="ORD1405"/>
    <x v="6"/>
    <x v="1"/>
    <n v="2"/>
    <n v="19051.439999999999"/>
    <n v="38102.879999999997"/>
    <x v="5"/>
    <d v="2026-05-07T00:00:00"/>
    <x v="3"/>
  </r>
  <r>
    <s v="ORD1406"/>
    <x v="13"/>
    <x v="1"/>
    <n v="3"/>
    <n v="55594.239999999998"/>
    <n v="166782.72"/>
    <x v="6"/>
    <d v="2026-04-30T00:00:00"/>
    <x v="5"/>
  </r>
  <r>
    <s v="ORD1407"/>
    <x v="10"/>
    <x v="3"/>
    <n v="5"/>
    <n v="1850.98"/>
    <n v="9254.9"/>
    <x v="2"/>
    <d v="2026-01-17T00:00:00"/>
    <x v="1"/>
  </r>
  <r>
    <s v="ORD1408"/>
    <x v="4"/>
    <x v="3"/>
    <n v="4"/>
    <n v="878.84"/>
    <n v="3515.36"/>
    <x v="3"/>
    <d v="2026-05-15T00:00:00"/>
    <x v="3"/>
  </r>
  <r>
    <s v="ORD1409"/>
    <x v="5"/>
    <x v="0"/>
    <n v="4"/>
    <n v="5322.27"/>
    <n v="21289.08"/>
    <x v="2"/>
    <d v="2026-02-02T00:00:00"/>
    <x v="2"/>
  </r>
  <r>
    <s v="ORD1410"/>
    <x v="9"/>
    <x v="3"/>
    <n v="1"/>
    <n v="2474"/>
    <n v="2474"/>
    <x v="1"/>
    <d v="2026-03-30T00:00:00"/>
    <x v="0"/>
  </r>
  <r>
    <s v="ORD1411"/>
    <x v="11"/>
    <x v="1"/>
    <n v="5"/>
    <n v="2261.5100000000002"/>
    <n v="11307.550000000001"/>
    <x v="4"/>
    <d v="2026-02-03T00:00:00"/>
    <x v="2"/>
  </r>
  <r>
    <s v="ORD1412"/>
    <x v="5"/>
    <x v="0"/>
    <n v="5"/>
    <n v="5409.63"/>
    <n v="27048.15"/>
    <x v="7"/>
    <d v="2026-02-01T00:00:00"/>
    <x v="2"/>
  </r>
  <r>
    <s v="ORD1413"/>
    <x v="12"/>
    <x v="4"/>
    <n v="2"/>
    <n v="4035.46"/>
    <n v="8070.92"/>
    <x v="4"/>
    <d v="2026-03-24T00:00:00"/>
    <x v="0"/>
  </r>
  <r>
    <s v="ORD1414"/>
    <x v="3"/>
    <x v="1"/>
    <n v="2"/>
    <n v="27137.73"/>
    <n v="54275.46"/>
    <x v="1"/>
    <d v="2026-03-14T00:00:00"/>
    <x v="0"/>
  </r>
  <r>
    <s v="ORD1415"/>
    <x v="7"/>
    <x v="4"/>
    <n v="1"/>
    <n v="6175.79"/>
    <n v="6175.79"/>
    <x v="1"/>
    <d v="2026-03-12T00:00:00"/>
    <x v="0"/>
  </r>
  <r>
    <s v="ORD1416"/>
    <x v="11"/>
    <x v="1"/>
    <n v="3"/>
    <n v="2250.35"/>
    <n v="6751.0499999999993"/>
    <x v="2"/>
    <d v="2026-05-09T00:00:00"/>
    <x v="3"/>
  </r>
  <r>
    <s v="ORD1417"/>
    <x v="0"/>
    <x v="0"/>
    <n v="2"/>
    <n v="1833.05"/>
    <n v="3666.1"/>
    <x v="9"/>
    <d v="2026-02-09T00:00:00"/>
    <x v="2"/>
  </r>
  <r>
    <s v="ORD1418"/>
    <x v="11"/>
    <x v="1"/>
    <n v="5"/>
    <n v="2297.08"/>
    <n v="11485.4"/>
    <x v="9"/>
    <d v="2026-03-28T00:00:00"/>
    <x v="0"/>
  </r>
  <r>
    <s v="ORD1419"/>
    <x v="7"/>
    <x v="4"/>
    <n v="5"/>
    <n v="5903.55"/>
    <n v="29517.75"/>
    <x v="7"/>
    <d v="2026-01-21T00:00:00"/>
    <x v="1"/>
  </r>
  <r>
    <s v="ORD1420"/>
    <x v="13"/>
    <x v="1"/>
    <n v="5"/>
    <n v="52411.21"/>
    <n v="262056.05"/>
    <x v="5"/>
    <d v="2026-05-27T00:00:00"/>
    <x v="3"/>
  </r>
  <r>
    <s v="ORD1421"/>
    <x v="5"/>
    <x v="0"/>
    <n v="5"/>
    <n v="5137.96"/>
    <n v="25689.8"/>
    <x v="3"/>
    <d v="2026-06-10T00:00:00"/>
    <x v="4"/>
  </r>
  <r>
    <s v="ORD1422"/>
    <x v="12"/>
    <x v="4"/>
    <n v="3"/>
    <n v="4319.2"/>
    <n v="12957.599999999999"/>
    <x v="0"/>
    <d v="2026-05-04T00:00:00"/>
    <x v="3"/>
  </r>
  <r>
    <s v="ORD1423"/>
    <x v="1"/>
    <x v="1"/>
    <n v="4"/>
    <n v="1439.23"/>
    <n v="5756.92"/>
    <x v="2"/>
    <d v="2026-06-26T00:00:00"/>
    <x v="4"/>
  </r>
  <r>
    <s v="ORD1424"/>
    <x v="13"/>
    <x v="1"/>
    <n v="2"/>
    <n v="54335.66"/>
    <n v="108671.32"/>
    <x v="3"/>
    <d v="2026-04-29T00:00:00"/>
    <x v="5"/>
  </r>
  <r>
    <s v="ORD1425"/>
    <x v="1"/>
    <x v="1"/>
    <n v="3"/>
    <n v="1532"/>
    <n v="4596"/>
    <x v="6"/>
    <d v="2026-03-23T00:00:00"/>
    <x v="0"/>
  </r>
  <r>
    <s v="ORD1426"/>
    <x v="3"/>
    <x v="1"/>
    <n v="3"/>
    <n v="30662.1"/>
    <n v="91986.299999999988"/>
    <x v="4"/>
    <d v="2026-04-05T00:00:00"/>
    <x v="5"/>
  </r>
  <r>
    <s v="ORD1427"/>
    <x v="12"/>
    <x v="4"/>
    <n v="5"/>
    <n v="3869.19"/>
    <n v="19345.95"/>
    <x v="5"/>
    <d v="2026-04-30T00:00:00"/>
    <x v="5"/>
  </r>
  <r>
    <s v="ORD1428"/>
    <x v="6"/>
    <x v="1"/>
    <n v="3"/>
    <n v="17818.55"/>
    <n v="53455.649999999994"/>
    <x v="4"/>
    <d v="2026-01-25T00:00:00"/>
    <x v="1"/>
  </r>
  <r>
    <s v="ORD1429"/>
    <x v="13"/>
    <x v="1"/>
    <n v="3"/>
    <n v="59899.23"/>
    <n v="179697.69"/>
    <x v="9"/>
    <d v="2026-04-18T00:00:00"/>
    <x v="5"/>
  </r>
  <r>
    <s v="ORD1430"/>
    <x v="1"/>
    <x v="1"/>
    <n v="2"/>
    <n v="1594.04"/>
    <n v="3188.08"/>
    <x v="9"/>
    <d v="2026-03-22T00:00:00"/>
    <x v="0"/>
  </r>
  <r>
    <s v="ORD1431"/>
    <x v="1"/>
    <x v="1"/>
    <n v="2"/>
    <n v="1499.48"/>
    <n v="2998.96"/>
    <x v="1"/>
    <d v="2026-04-30T00:00:00"/>
    <x v="5"/>
  </r>
  <r>
    <s v="ORD1432"/>
    <x v="8"/>
    <x v="4"/>
    <n v="3"/>
    <n v="3498.16"/>
    <n v="10494.48"/>
    <x v="2"/>
    <d v="2026-04-11T00:00:00"/>
    <x v="5"/>
  </r>
  <r>
    <s v="ORD1433"/>
    <x v="12"/>
    <x v="4"/>
    <n v="4"/>
    <n v="4592.0200000000004"/>
    <n v="18368.080000000002"/>
    <x v="5"/>
    <d v="2026-05-30T00:00:00"/>
    <x v="3"/>
  </r>
  <r>
    <s v="ORD1434"/>
    <x v="9"/>
    <x v="3"/>
    <n v="1"/>
    <n v="2274.36"/>
    <n v="2274.36"/>
    <x v="3"/>
    <d v="2026-06-02T00:00:00"/>
    <x v="4"/>
  </r>
  <r>
    <s v="ORD1435"/>
    <x v="7"/>
    <x v="4"/>
    <n v="4"/>
    <n v="6221.47"/>
    <n v="24885.88"/>
    <x v="7"/>
    <d v="2026-01-28T00:00:00"/>
    <x v="1"/>
  </r>
  <r>
    <s v="ORD1436"/>
    <x v="5"/>
    <x v="0"/>
    <n v="2"/>
    <n v="5381.38"/>
    <n v="10762.76"/>
    <x v="6"/>
    <d v="2026-04-14T00:00:00"/>
    <x v="5"/>
  </r>
  <r>
    <s v="ORD1437"/>
    <x v="9"/>
    <x v="3"/>
    <n v="1"/>
    <n v="2449.31"/>
    <n v="2449.31"/>
    <x v="9"/>
    <d v="2026-05-24T00:00:00"/>
    <x v="3"/>
  </r>
  <r>
    <s v="ORD1438"/>
    <x v="1"/>
    <x v="1"/>
    <n v="3"/>
    <n v="1515.97"/>
    <n v="4547.91"/>
    <x v="2"/>
    <d v="2026-04-09T00:00:00"/>
    <x v="5"/>
  </r>
  <r>
    <s v="ORD1439"/>
    <x v="12"/>
    <x v="4"/>
    <n v="4"/>
    <n v="4422.1000000000004"/>
    <n v="17688.400000000001"/>
    <x v="0"/>
    <d v="2026-06-09T00:00:00"/>
    <x v="4"/>
  </r>
  <r>
    <s v="ORD1440"/>
    <x v="0"/>
    <x v="0"/>
    <n v="5"/>
    <n v="1662.77"/>
    <n v="8313.85"/>
    <x v="2"/>
    <d v="2026-04-11T00:00:00"/>
    <x v="5"/>
  </r>
  <r>
    <s v="ORD1441"/>
    <x v="9"/>
    <x v="3"/>
    <n v="3"/>
    <n v="2527.9"/>
    <n v="7583.7000000000007"/>
    <x v="6"/>
    <d v="2026-02-06T00:00:00"/>
    <x v="2"/>
  </r>
  <r>
    <s v="ORD1442"/>
    <x v="1"/>
    <x v="1"/>
    <n v="5"/>
    <n v="1502.74"/>
    <n v="7513.7"/>
    <x v="1"/>
    <d v="2026-01-11T00:00:00"/>
    <x v="1"/>
  </r>
  <r>
    <s v="ORD1443"/>
    <x v="13"/>
    <x v="1"/>
    <n v="1"/>
    <n v="51007.4"/>
    <n v="51007.4"/>
    <x v="6"/>
    <d v="2026-05-02T00:00:00"/>
    <x v="3"/>
  </r>
  <r>
    <s v="ORD1444"/>
    <x v="12"/>
    <x v="4"/>
    <n v="4"/>
    <n v="3905.11"/>
    <n v="15620.44"/>
    <x v="1"/>
    <d v="2026-02-05T00:00:00"/>
    <x v="2"/>
  </r>
  <r>
    <s v="ORD1445"/>
    <x v="9"/>
    <x v="3"/>
    <n v="5"/>
    <n v="2408.3000000000002"/>
    <n v="12041.5"/>
    <x v="8"/>
    <d v="2026-06-07T00:00:00"/>
    <x v="4"/>
  </r>
  <r>
    <s v="ORD1446"/>
    <x v="3"/>
    <x v="1"/>
    <n v="3"/>
    <n v="28524.86"/>
    <n v="85574.58"/>
    <x v="1"/>
    <d v="2026-05-11T00:00:00"/>
    <x v="3"/>
  </r>
  <r>
    <s v="ORD1447"/>
    <x v="12"/>
    <x v="4"/>
    <n v="4"/>
    <n v="4375.34"/>
    <n v="17501.36"/>
    <x v="0"/>
    <d v="2026-05-02T00:00:00"/>
    <x v="3"/>
  </r>
  <r>
    <s v="ORD1448"/>
    <x v="7"/>
    <x v="4"/>
    <n v="1"/>
    <n v="6328.87"/>
    <n v="6328.87"/>
    <x v="2"/>
    <d v="2026-04-17T00:00:00"/>
    <x v="5"/>
  </r>
  <r>
    <s v="ORD1449"/>
    <x v="2"/>
    <x v="2"/>
    <n v="3"/>
    <n v="476.71"/>
    <n v="1430.1299999999999"/>
    <x v="7"/>
    <d v="2026-06-02T00:00:00"/>
    <x v="4"/>
  </r>
  <r>
    <s v="ORD1450"/>
    <x v="8"/>
    <x v="4"/>
    <n v="3"/>
    <n v="3826.95"/>
    <n v="11480.849999999999"/>
    <x v="9"/>
    <d v="2026-05-28T00:00:00"/>
    <x v="3"/>
  </r>
  <r>
    <s v="ORD1451"/>
    <x v="1"/>
    <x v="1"/>
    <n v="1"/>
    <n v="1525.06"/>
    <n v="1525.06"/>
    <x v="4"/>
    <d v="2026-05-15T00:00:00"/>
    <x v="3"/>
  </r>
  <r>
    <s v="ORD1452"/>
    <x v="0"/>
    <x v="0"/>
    <n v="5"/>
    <n v="1898.86"/>
    <n v="9494.2999999999993"/>
    <x v="8"/>
    <d v="2026-02-07T00:00:00"/>
    <x v="2"/>
  </r>
  <r>
    <s v="ORD1453"/>
    <x v="7"/>
    <x v="4"/>
    <n v="2"/>
    <n v="5891.04"/>
    <n v="11782.08"/>
    <x v="2"/>
    <d v="2026-02-18T00:00:00"/>
    <x v="2"/>
  </r>
  <r>
    <s v="ORD1454"/>
    <x v="13"/>
    <x v="1"/>
    <n v="4"/>
    <n v="52950.62"/>
    <n v="211802.48"/>
    <x v="4"/>
    <d v="2026-04-16T00:00:00"/>
    <x v="5"/>
  </r>
  <r>
    <s v="ORD1455"/>
    <x v="3"/>
    <x v="1"/>
    <n v="2"/>
    <n v="27498.11"/>
    <n v="54996.22"/>
    <x v="9"/>
    <d v="2026-05-01T00:00:00"/>
    <x v="3"/>
  </r>
  <r>
    <s v="ORD1456"/>
    <x v="7"/>
    <x v="4"/>
    <n v="1"/>
    <n v="6767.51"/>
    <n v="6767.51"/>
    <x v="1"/>
    <d v="2026-02-23T00:00:00"/>
    <x v="2"/>
  </r>
  <r>
    <s v="ORD1457"/>
    <x v="12"/>
    <x v="4"/>
    <n v="3"/>
    <n v="4618.42"/>
    <n v="13855.26"/>
    <x v="3"/>
    <d v="2026-05-15T00:00:00"/>
    <x v="3"/>
  </r>
  <r>
    <s v="ORD1458"/>
    <x v="5"/>
    <x v="0"/>
    <n v="3"/>
    <n v="5455.59"/>
    <n v="16366.77"/>
    <x v="3"/>
    <d v="2026-05-17T00:00:00"/>
    <x v="3"/>
  </r>
  <r>
    <s v="ORD1459"/>
    <x v="9"/>
    <x v="3"/>
    <n v="5"/>
    <n v="2426.17"/>
    <n v="12130.85"/>
    <x v="0"/>
    <d v="2026-06-06T00:00:00"/>
    <x v="4"/>
  </r>
  <r>
    <s v="ORD1460"/>
    <x v="8"/>
    <x v="4"/>
    <n v="2"/>
    <n v="3820.14"/>
    <n v="7640.28"/>
    <x v="0"/>
    <d v="2026-05-23T00:00:00"/>
    <x v="3"/>
  </r>
  <r>
    <s v="ORD1461"/>
    <x v="4"/>
    <x v="3"/>
    <n v="2"/>
    <n v="869.55"/>
    <n v="1739.1"/>
    <x v="0"/>
    <d v="2026-03-15T00:00:00"/>
    <x v="0"/>
  </r>
  <r>
    <s v="ORD1462"/>
    <x v="3"/>
    <x v="1"/>
    <n v="2"/>
    <n v="29065.34"/>
    <n v="58130.68"/>
    <x v="3"/>
    <d v="2026-03-23T00:00:00"/>
    <x v="0"/>
  </r>
  <r>
    <s v="ORD1463"/>
    <x v="8"/>
    <x v="4"/>
    <n v="3"/>
    <n v="3542.34"/>
    <n v="10627.02"/>
    <x v="0"/>
    <d v="2026-03-15T00:00:00"/>
    <x v="0"/>
  </r>
  <r>
    <s v="ORD1464"/>
    <x v="6"/>
    <x v="1"/>
    <n v="5"/>
    <n v="18635.84"/>
    <n v="93179.199999999997"/>
    <x v="8"/>
    <d v="2026-04-12T00:00:00"/>
    <x v="5"/>
  </r>
  <r>
    <s v="ORD1465"/>
    <x v="7"/>
    <x v="4"/>
    <n v="3"/>
    <n v="7090.99"/>
    <n v="21272.97"/>
    <x v="4"/>
    <d v="2026-03-16T00:00:00"/>
    <x v="0"/>
  </r>
  <r>
    <s v="ORD1466"/>
    <x v="13"/>
    <x v="1"/>
    <n v="3"/>
    <n v="60008.45"/>
    <n v="180025.34999999998"/>
    <x v="2"/>
    <d v="2026-03-30T00:00:00"/>
    <x v="0"/>
  </r>
  <r>
    <s v="ORD1467"/>
    <x v="8"/>
    <x v="4"/>
    <n v="3"/>
    <n v="3673.14"/>
    <n v="11019.42"/>
    <x v="5"/>
    <d v="2026-02-21T00:00:00"/>
    <x v="2"/>
  </r>
  <r>
    <s v="ORD1468"/>
    <x v="7"/>
    <x v="4"/>
    <n v="5"/>
    <n v="6202.47"/>
    <n v="31012.350000000002"/>
    <x v="1"/>
    <d v="2026-06-28T00:00:00"/>
    <x v="4"/>
  </r>
  <r>
    <s v="ORD1469"/>
    <x v="4"/>
    <x v="3"/>
    <n v="2"/>
    <n v="736.55"/>
    <n v="1473.1"/>
    <x v="9"/>
    <d v="2026-03-03T00:00:00"/>
    <x v="0"/>
  </r>
  <r>
    <s v="ORD1470"/>
    <x v="1"/>
    <x v="1"/>
    <n v="1"/>
    <n v="1550.95"/>
    <n v="1550.95"/>
    <x v="1"/>
    <d v="2026-02-27T00:00:00"/>
    <x v="2"/>
  </r>
  <r>
    <s v="ORD1471"/>
    <x v="0"/>
    <x v="0"/>
    <n v="2"/>
    <n v="1638.9"/>
    <n v="3277.8"/>
    <x v="8"/>
    <d v="2026-03-26T00:00:00"/>
    <x v="0"/>
  </r>
  <r>
    <s v="ORD1472"/>
    <x v="3"/>
    <x v="1"/>
    <n v="4"/>
    <n v="25763.05"/>
    <n v="103052.2"/>
    <x v="4"/>
    <d v="2026-01-02T00:00:00"/>
    <x v="1"/>
  </r>
  <r>
    <s v="ORD1473"/>
    <x v="12"/>
    <x v="4"/>
    <n v="2"/>
    <n v="4121.8"/>
    <n v="8243.6"/>
    <x v="3"/>
    <d v="2026-05-03T00:00:00"/>
    <x v="3"/>
  </r>
  <r>
    <s v="ORD1474"/>
    <x v="0"/>
    <x v="0"/>
    <n v="2"/>
    <n v="1892.13"/>
    <n v="3784.26"/>
    <x v="0"/>
    <d v="2026-03-24T00:00:00"/>
    <x v="0"/>
  </r>
  <r>
    <s v="ORD1475"/>
    <x v="4"/>
    <x v="3"/>
    <n v="1"/>
    <n v="864.19"/>
    <n v="864.19"/>
    <x v="2"/>
    <d v="2026-06-16T00:00:00"/>
    <x v="4"/>
  </r>
  <r>
    <s v="ORD1476"/>
    <x v="2"/>
    <x v="2"/>
    <n v="2"/>
    <n v="453.16"/>
    <n v="906.32"/>
    <x v="7"/>
    <d v="2026-02-14T00:00:00"/>
    <x v="2"/>
  </r>
  <r>
    <s v="ORD1477"/>
    <x v="5"/>
    <x v="0"/>
    <n v="2"/>
    <n v="5432.84"/>
    <n v="10865.68"/>
    <x v="7"/>
    <d v="2026-04-12T00:00:00"/>
    <x v="5"/>
  </r>
  <r>
    <s v="ORD1478"/>
    <x v="10"/>
    <x v="3"/>
    <n v="4"/>
    <n v="1873.59"/>
    <n v="7494.36"/>
    <x v="0"/>
    <d v="2026-01-10T00:00:00"/>
    <x v="1"/>
  </r>
  <r>
    <s v="ORD1479"/>
    <x v="13"/>
    <x v="1"/>
    <n v="3"/>
    <n v="55747.58"/>
    <n v="167242.74"/>
    <x v="2"/>
    <d v="2026-03-27T00:00:00"/>
    <x v="0"/>
  </r>
  <r>
    <s v="ORD1480"/>
    <x v="4"/>
    <x v="3"/>
    <n v="4"/>
    <n v="877.16"/>
    <n v="3508.64"/>
    <x v="1"/>
    <d v="2026-05-15T00:00:00"/>
    <x v="3"/>
  </r>
  <r>
    <s v="ORD1481"/>
    <x v="8"/>
    <x v="4"/>
    <n v="2"/>
    <n v="3745.74"/>
    <n v="7491.48"/>
    <x v="3"/>
    <d v="2026-03-11T00:00:00"/>
    <x v="0"/>
  </r>
  <r>
    <s v="ORD1482"/>
    <x v="1"/>
    <x v="1"/>
    <n v="1"/>
    <n v="1449.21"/>
    <n v="1449.21"/>
    <x v="3"/>
    <d v="2026-06-15T00:00:00"/>
    <x v="4"/>
  </r>
  <r>
    <s v="ORD1483"/>
    <x v="4"/>
    <x v="3"/>
    <n v="2"/>
    <n v="721.35"/>
    <n v="1442.7"/>
    <x v="6"/>
    <d v="2026-03-17T00:00:00"/>
    <x v="0"/>
  </r>
  <r>
    <s v="ORD1484"/>
    <x v="2"/>
    <x v="2"/>
    <n v="2"/>
    <n v="420.79"/>
    <n v="841.58"/>
    <x v="8"/>
    <d v="2026-04-20T00:00:00"/>
    <x v="5"/>
  </r>
  <r>
    <s v="ORD1485"/>
    <x v="12"/>
    <x v="4"/>
    <n v="3"/>
    <n v="3852.86"/>
    <n v="11558.58"/>
    <x v="2"/>
    <d v="2026-02-17T00:00:00"/>
    <x v="2"/>
  </r>
  <r>
    <s v="ORD1486"/>
    <x v="11"/>
    <x v="1"/>
    <n v="4"/>
    <n v="2122.38"/>
    <n v="8489.52"/>
    <x v="5"/>
    <d v="2026-01-02T00:00:00"/>
    <x v="1"/>
  </r>
  <r>
    <s v="ORD1487"/>
    <x v="4"/>
    <x v="3"/>
    <n v="4"/>
    <n v="756.74"/>
    <n v="3026.96"/>
    <x v="0"/>
    <d v="2026-03-26T00:00:00"/>
    <x v="0"/>
  </r>
  <r>
    <s v="ORD1488"/>
    <x v="4"/>
    <x v="3"/>
    <n v="5"/>
    <n v="834.62"/>
    <n v="4173.1000000000004"/>
    <x v="7"/>
    <d v="2026-03-08T00:00:00"/>
    <x v="0"/>
  </r>
  <r>
    <s v="ORD1489"/>
    <x v="0"/>
    <x v="0"/>
    <n v="3"/>
    <n v="1869.4"/>
    <n v="5608.2000000000007"/>
    <x v="7"/>
    <d v="2026-06-20T00:00:00"/>
    <x v="4"/>
  </r>
  <r>
    <s v="ORD1490"/>
    <x v="6"/>
    <x v="1"/>
    <n v="4"/>
    <n v="17304.5"/>
    <n v="69218"/>
    <x v="8"/>
    <d v="2026-06-25T00:00:00"/>
    <x v="4"/>
  </r>
  <r>
    <s v="ORD1491"/>
    <x v="12"/>
    <x v="4"/>
    <n v="3"/>
    <n v="4359.84"/>
    <n v="13079.52"/>
    <x v="0"/>
    <d v="2026-04-05T00:00:00"/>
    <x v="5"/>
  </r>
  <r>
    <s v="ORD1492"/>
    <x v="2"/>
    <x v="2"/>
    <n v="2"/>
    <n v="424.72"/>
    <n v="849.44"/>
    <x v="4"/>
    <d v="2026-05-03T00:00:00"/>
    <x v="3"/>
  </r>
  <r>
    <s v="ORD1493"/>
    <x v="11"/>
    <x v="1"/>
    <n v="4"/>
    <n v="2309"/>
    <n v="9236"/>
    <x v="9"/>
    <d v="2026-04-06T00:00:00"/>
    <x v="5"/>
  </r>
  <r>
    <s v="ORD1494"/>
    <x v="5"/>
    <x v="0"/>
    <n v="5"/>
    <n v="5411.71"/>
    <n v="27058.55"/>
    <x v="1"/>
    <d v="2026-06-20T00:00:00"/>
    <x v="4"/>
  </r>
  <r>
    <s v="ORD1495"/>
    <x v="7"/>
    <x v="4"/>
    <n v="2"/>
    <n v="6840.42"/>
    <n v="13680.84"/>
    <x v="9"/>
    <d v="2026-01-21T00:00:00"/>
    <x v="1"/>
  </r>
  <r>
    <s v="ORD1496"/>
    <x v="12"/>
    <x v="4"/>
    <n v="4"/>
    <n v="4223.67"/>
    <n v="16894.68"/>
    <x v="6"/>
    <d v="2026-01-20T00:00:00"/>
    <x v="1"/>
  </r>
  <r>
    <s v="ORD1497"/>
    <x v="2"/>
    <x v="2"/>
    <n v="1"/>
    <n v="410.56"/>
    <n v="410.56"/>
    <x v="1"/>
    <d v="2026-05-10T00:00:00"/>
    <x v="3"/>
  </r>
  <r>
    <s v="ORD1498"/>
    <x v="1"/>
    <x v="1"/>
    <n v="5"/>
    <n v="1511"/>
    <n v="7555"/>
    <x v="4"/>
    <d v="2026-03-25T00:00:00"/>
    <x v="0"/>
  </r>
  <r>
    <s v="ORD1499"/>
    <x v="7"/>
    <x v="4"/>
    <n v="5"/>
    <n v="6424.39"/>
    <n v="32121.95"/>
    <x v="5"/>
    <d v="2026-05-30T00:00:00"/>
    <x v="3"/>
  </r>
  <r>
    <s v="ORD1500"/>
    <x v="8"/>
    <x v="4"/>
    <n v="1"/>
    <n v="3779.22"/>
    <n v="3779.22"/>
    <x v="3"/>
    <d v="2026-01-15T00:00:00"/>
    <x v="1"/>
  </r>
  <r>
    <s v="ORD1501"/>
    <x v="8"/>
    <x v="4"/>
    <n v="2"/>
    <n v="3509.27"/>
    <n v="7018.54"/>
    <x v="3"/>
    <d v="2026-05-25T00:00:00"/>
    <x v="3"/>
  </r>
  <r>
    <s v="ORD1502"/>
    <x v="13"/>
    <x v="1"/>
    <n v="5"/>
    <n v="54586.16"/>
    <n v="272930.80000000005"/>
    <x v="0"/>
    <d v="2026-01-06T00:00:00"/>
    <x v="1"/>
  </r>
  <r>
    <s v="ORD1503"/>
    <x v="5"/>
    <x v="0"/>
    <n v="3"/>
    <n v="5315.39"/>
    <n v="15946.170000000002"/>
    <x v="5"/>
    <d v="2026-05-29T00:00:00"/>
    <x v="3"/>
  </r>
  <r>
    <s v="ORD1504"/>
    <x v="6"/>
    <x v="1"/>
    <n v="1"/>
    <n v="17725.310000000001"/>
    <n v="17725.310000000001"/>
    <x v="2"/>
    <d v="2026-05-19T00:00:00"/>
    <x v="3"/>
  </r>
  <r>
    <s v="ORD1505"/>
    <x v="13"/>
    <x v="1"/>
    <n v="1"/>
    <n v="60347.51"/>
    <n v="60347.51"/>
    <x v="3"/>
    <d v="2026-01-09T00:00:00"/>
    <x v="1"/>
  </r>
  <r>
    <s v="ORD1506"/>
    <x v="4"/>
    <x v="3"/>
    <n v="4"/>
    <n v="747.86"/>
    <n v="2991.44"/>
    <x v="4"/>
    <d v="2026-06-14T00:00:00"/>
    <x v="4"/>
  </r>
  <r>
    <s v="ORD1507"/>
    <x v="3"/>
    <x v="1"/>
    <n v="4"/>
    <n v="27296.98"/>
    <n v="109187.92"/>
    <x v="8"/>
    <d v="2026-04-25T00:00:00"/>
    <x v="5"/>
  </r>
  <r>
    <s v="ORD1508"/>
    <x v="7"/>
    <x v="4"/>
    <n v="4"/>
    <n v="6338.34"/>
    <n v="25353.360000000001"/>
    <x v="1"/>
    <d v="2026-02-04T00:00:00"/>
    <x v="2"/>
  </r>
  <r>
    <s v="ORD1509"/>
    <x v="0"/>
    <x v="0"/>
    <n v="3"/>
    <n v="1662.71"/>
    <n v="4988.13"/>
    <x v="1"/>
    <d v="2026-04-11T00:00:00"/>
    <x v="5"/>
  </r>
  <r>
    <s v="ORD1510"/>
    <x v="12"/>
    <x v="4"/>
    <n v="2"/>
    <n v="4391.3999999999996"/>
    <n v="8782.7999999999993"/>
    <x v="5"/>
    <d v="2026-01-01T00:00:00"/>
    <x v="1"/>
  </r>
  <r>
    <s v="ORD1511"/>
    <x v="10"/>
    <x v="3"/>
    <n v="1"/>
    <n v="2190.3000000000002"/>
    <n v="2190.3000000000002"/>
    <x v="3"/>
    <d v="2026-06-22T00:00:00"/>
    <x v="4"/>
  </r>
  <r>
    <s v="ORD1512"/>
    <x v="3"/>
    <x v="1"/>
    <n v="5"/>
    <n v="27575.119999999999"/>
    <n v="137875.6"/>
    <x v="8"/>
    <d v="2026-02-28T00:00:00"/>
    <x v="2"/>
  </r>
  <r>
    <s v="ORD1513"/>
    <x v="1"/>
    <x v="1"/>
    <n v="4"/>
    <n v="1453.85"/>
    <n v="5815.4"/>
    <x v="0"/>
    <d v="2026-02-18T00:00:00"/>
    <x v="2"/>
  </r>
  <r>
    <s v="ORD1514"/>
    <x v="3"/>
    <x v="1"/>
    <n v="1"/>
    <n v="25380.42"/>
    <n v="25380.42"/>
    <x v="8"/>
    <d v="2026-06-07T00:00:00"/>
    <x v="4"/>
  </r>
  <r>
    <s v="ORD1515"/>
    <x v="10"/>
    <x v="3"/>
    <n v="1"/>
    <n v="1895.32"/>
    <n v="1895.32"/>
    <x v="2"/>
    <d v="2026-01-26T00:00:00"/>
    <x v="1"/>
  </r>
  <r>
    <s v="ORD1516"/>
    <x v="2"/>
    <x v="2"/>
    <n v="1"/>
    <n v="445.18"/>
    <n v="445.18"/>
    <x v="7"/>
    <d v="2026-03-04T00:00:00"/>
    <x v="0"/>
  </r>
  <r>
    <s v="ORD1517"/>
    <x v="3"/>
    <x v="1"/>
    <n v="1"/>
    <n v="27452.69"/>
    <n v="27452.69"/>
    <x v="5"/>
    <d v="2026-05-19T00:00:00"/>
    <x v="3"/>
  </r>
  <r>
    <s v="ORD1518"/>
    <x v="1"/>
    <x v="1"/>
    <n v="1"/>
    <n v="1392.04"/>
    <n v="1392.04"/>
    <x v="0"/>
    <d v="2026-03-01T00:00:00"/>
    <x v="0"/>
  </r>
  <r>
    <s v="ORD1519"/>
    <x v="7"/>
    <x v="4"/>
    <n v="5"/>
    <n v="6264.57"/>
    <n v="31322.85"/>
    <x v="9"/>
    <d v="2026-06-22T00:00:00"/>
    <x v="4"/>
  </r>
  <r>
    <s v="ORD1520"/>
    <x v="7"/>
    <x v="4"/>
    <n v="3"/>
    <n v="6157.98"/>
    <n v="18473.939999999999"/>
    <x v="4"/>
    <d v="2026-06-19T00:00:00"/>
    <x v="4"/>
  </r>
  <r>
    <s v="ORD1521"/>
    <x v="12"/>
    <x v="4"/>
    <n v="2"/>
    <n v="4127.3900000000003"/>
    <n v="8254.7800000000007"/>
    <x v="0"/>
    <d v="2026-01-16T00:00:00"/>
    <x v="1"/>
  </r>
  <r>
    <s v="ORD1522"/>
    <x v="12"/>
    <x v="4"/>
    <n v="5"/>
    <n v="4518.96"/>
    <n v="22594.799999999999"/>
    <x v="4"/>
    <d v="2026-06-10T00:00:00"/>
    <x v="4"/>
  </r>
  <r>
    <s v="ORD1523"/>
    <x v="0"/>
    <x v="0"/>
    <n v="4"/>
    <n v="1820.11"/>
    <n v="7280.44"/>
    <x v="7"/>
    <d v="2026-03-30T00:00:00"/>
    <x v="0"/>
  </r>
  <r>
    <s v="ORD1524"/>
    <x v="0"/>
    <x v="0"/>
    <n v="4"/>
    <n v="1902.89"/>
    <n v="7611.56"/>
    <x v="6"/>
    <d v="2026-06-28T00:00:00"/>
    <x v="4"/>
  </r>
  <r>
    <s v="ORD1525"/>
    <x v="5"/>
    <x v="0"/>
    <n v="4"/>
    <n v="4648.29"/>
    <n v="18593.16"/>
    <x v="8"/>
    <d v="2026-02-17T00:00:00"/>
    <x v="2"/>
  </r>
  <r>
    <s v="ORD1526"/>
    <x v="10"/>
    <x v="3"/>
    <n v="5"/>
    <n v="1988.41"/>
    <n v="9942.0500000000011"/>
    <x v="5"/>
    <d v="2026-03-18T00:00:00"/>
    <x v="0"/>
  </r>
  <r>
    <s v="ORD1527"/>
    <x v="7"/>
    <x v="4"/>
    <n v="2"/>
    <n v="6897.51"/>
    <n v="13795.02"/>
    <x v="7"/>
    <d v="2026-05-24T00:00:00"/>
    <x v="3"/>
  </r>
  <r>
    <s v="ORD1528"/>
    <x v="5"/>
    <x v="0"/>
    <n v="4"/>
    <n v="5056.28"/>
    <n v="20225.12"/>
    <x v="4"/>
    <d v="2026-04-10T00:00:00"/>
    <x v="5"/>
  </r>
  <r>
    <s v="ORD1529"/>
    <x v="1"/>
    <x v="1"/>
    <n v="3"/>
    <n v="1411"/>
    <n v="4233"/>
    <x v="2"/>
    <d v="2026-04-26T00:00:00"/>
    <x v="5"/>
  </r>
  <r>
    <s v="ORD1530"/>
    <x v="7"/>
    <x v="4"/>
    <n v="3"/>
    <n v="5970.2"/>
    <n v="17910.599999999999"/>
    <x v="5"/>
    <d v="2026-01-14T00:00:00"/>
    <x v="1"/>
  </r>
  <r>
    <s v="ORD1531"/>
    <x v="4"/>
    <x v="3"/>
    <n v="4"/>
    <n v="826.75"/>
    <n v="3307"/>
    <x v="9"/>
    <d v="2026-01-11T00:00:00"/>
    <x v="1"/>
  </r>
  <r>
    <s v="ORD1532"/>
    <x v="7"/>
    <x v="4"/>
    <n v="1"/>
    <n v="6094.61"/>
    <n v="6094.61"/>
    <x v="9"/>
    <d v="2026-06-21T00:00:00"/>
    <x v="4"/>
  </r>
  <r>
    <s v="ORD1533"/>
    <x v="12"/>
    <x v="4"/>
    <n v="2"/>
    <n v="4182.6899999999996"/>
    <n v="8365.3799999999992"/>
    <x v="6"/>
    <d v="2026-03-19T00:00:00"/>
    <x v="0"/>
  </r>
  <r>
    <s v="ORD1534"/>
    <x v="13"/>
    <x v="1"/>
    <n v="2"/>
    <n v="59808.76"/>
    <n v="119617.52"/>
    <x v="2"/>
    <d v="2026-05-03T00:00:00"/>
    <x v="3"/>
  </r>
  <r>
    <s v="ORD1535"/>
    <x v="1"/>
    <x v="1"/>
    <n v="5"/>
    <n v="1561.13"/>
    <n v="7805.6500000000005"/>
    <x v="8"/>
    <d v="2026-03-03T00:00:00"/>
    <x v="0"/>
  </r>
  <r>
    <s v="ORD1536"/>
    <x v="12"/>
    <x v="4"/>
    <n v="3"/>
    <n v="4431.43"/>
    <n v="13294.29"/>
    <x v="8"/>
    <d v="2026-04-30T00:00:00"/>
    <x v="5"/>
  </r>
  <r>
    <s v="ORD1537"/>
    <x v="12"/>
    <x v="4"/>
    <n v="3"/>
    <n v="4039.07"/>
    <n v="12117.210000000001"/>
    <x v="6"/>
    <d v="2026-05-12T00:00:00"/>
    <x v="3"/>
  </r>
  <r>
    <s v="ORD1538"/>
    <x v="8"/>
    <x v="4"/>
    <n v="4"/>
    <n v="3219.03"/>
    <n v="12876.12"/>
    <x v="3"/>
    <d v="2026-03-23T00:00:00"/>
    <x v="0"/>
  </r>
  <r>
    <s v="ORD1539"/>
    <x v="1"/>
    <x v="1"/>
    <n v="3"/>
    <n v="1443.88"/>
    <n v="4331.6400000000003"/>
    <x v="7"/>
    <d v="2026-05-25T00:00:00"/>
    <x v="3"/>
  </r>
  <r>
    <s v="ORD1540"/>
    <x v="7"/>
    <x v="4"/>
    <n v="2"/>
    <n v="6813.63"/>
    <n v="13627.26"/>
    <x v="7"/>
    <d v="2026-03-08T00:00:00"/>
    <x v="0"/>
  </r>
  <r>
    <s v="ORD1541"/>
    <x v="12"/>
    <x v="4"/>
    <n v="5"/>
    <n v="4266.4799999999996"/>
    <n v="21332.399999999998"/>
    <x v="8"/>
    <d v="2026-03-17T00:00:00"/>
    <x v="0"/>
  </r>
  <r>
    <s v="ORD1542"/>
    <x v="11"/>
    <x v="1"/>
    <n v="2"/>
    <n v="2125.14"/>
    <n v="4250.28"/>
    <x v="8"/>
    <d v="2026-05-26T00:00:00"/>
    <x v="3"/>
  </r>
  <r>
    <s v="ORD1543"/>
    <x v="7"/>
    <x v="4"/>
    <n v="2"/>
    <n v="6499.09"/>
    <n v="12998.18"/>
    <x v="6"/>
    <d v="2026-03-07T00:00:00"/>
    <x v="0"/>
  </r>
  <r>
    <s v="ORD1544"/>
    <x v="10"/>
    <x v="3"/>
    <n v="4"/>
    <n v="2185.5100000000002"/>
    <n v="8742.0400000000009"/>
    <x v="3"/>
    <d v="2026-04-28T00:00:00"/>
    <x v="5"/>
  </r>
  <r>
    <s v="ORD1545"/>
    <x v="11"/>
    <x v="1"/>
    <n v="3"/>
    <n v="2054.48"/>
    <n v="6163.4400000000005"/>
    <x v="1"/>
    <d v="2026-05-06T00:00:00"/>
    <x v="3"/>
  </r>
  <r>
    <s v="ORD1546"/>
    <x v="11"/>
    <x v="1"/>
    <n v="5"/>
    <n v="2415.7399999999998"/>
    <n v="12078.699999999999"/>
    <x v="7"/>
    <d v="2026-05-15T00:00:00"/>
    <x v="3"/>
  </r>
  <r>
    <s v="ORD1547"/>
    <x v="13"/>
    <x v="1"/>
    <n v="1"/>
    <n v="59897.07"/>
    <n v="59897.07"/>
    <x v="7"/>
    <d v="2026-01-02T00:00:00"/>
    <x v="1"/>
  </r>
  <r>
    <s v="ORD1548"/>
    <x v="5"/>
    <x v="0"/>
    <n v="2"/>
    <n v="5341.48"/>
    <n v="10682.96"/>
    <x v="5"/>
    <d v="2026-01-18T00:00:00"/>
    <x v="1"/>
  </r>
  <r>
    <s v="ORD1549"/>
    <x v="3"/>
    <x v="1"/>
    <n v="2"/>
    <n v="25251.19"/>
    <n v="50502.38"/>
    <x v="1"/>
    <d v="2026-04-27T00:00:00"/>
    <x v="5"/>
  </r>
  <r>
    <s v="ORD1550"/>
    <x v="9"/>
    <x v="3"/>
    <n v="1"/>
    <n v="2557.89"/>
    <n v="2557.89"/>
    <x v="9"/>
    <d v="2026-05-04T00:00:00"/>
    <x v="3"/>
  </r>
  <r>
    <s v="ORD1551"/>
    <x v="0"/>
    <x v="0"/>
    <n v="4"/>
    <n v="1625.66"/>
    <n v="6502.64"/>
    <x v="1"/>
    <d v="2026-05-22T00:00:00"/>
    <x v="3"/>
  </r>
  <r>
    <s v="ORD1552"/>
    <x v="5"/>
    <x v="0"/>
    <n v="1"/>
    <n v="4515.82"/>
    <n v="4515.82"/>
    <x v="0"/>
    <d v="2026-05-18T00:00:00"/>
    <x v="3"/>
  </r>
  <r>
    <s v="ORD1553"/>
    <x v="4"/>
    <x v="3"/>
    <n v="1"/>
    <n v="799.35"/>
    <n v="799.35"/>
    <x v="8"/>
    <d v="2026-02-15T00:00:00"/>
    <x v="2"/>
  </r>
  <r>
    <s v="ORD1554"/>
    <x v="6"/>
    <x v="1"/>
    <n v="1"/>
    <n v="18087.79"/>
    <n v="18087.79"/>
    <x v="5"/>
    <d v="2026-02-19T00:00:00"/>
    <x v="2"/>
  </r>
  <r>
    <s v="ORD1555"/>
    <x v="2"/>
    <x v="2"/>
    <n v="5"/>
    <n v="427.72"/>
    <n v="2138.6000000000004"/>
    <x v="6"/>
    <d v="2026-03-10T00:00:00"/>
    <x v="0"/>
  </r>
  <r>
    <s v="ORD1556"/>
    <x v="10"/>
    <x v="3"/>
    <n v="4"/>
    <n v="1830.69"/>
    <n v="7322.76"/>
    <x v="8"/>
    <d v="2026-04-28T00:00:00"/>
    <x v="5"/>
  </r>
  <r>
    <s v="ORD1557"/>
    <x v="2"/>
    <x v="2"/>
    <n v="2"/>
    <n v="494.12"/>
    <n v="988.24"/>
    <x v="5"/>
    <d v="2026-03-18T00:00:00"/>
    <x v="0"/>
  </r>
  <r>
    <s v="ORD1558"/>
    <x v="0"/>
    <x v="0"/>
    <n v="1"/>
    <n v="1855.34"/>
    <n v="1855.34"/>
    <x v="7"/>
    <d v="2026-01-24T00:00:00"/>
    <x v="1"/>
  </r>
  <r>
    <s v="ORD1559"/>
    <x v="5"/>
    <x v="0"/>
    <n v="4"/>
    <n v="4876.1899999999996"/>
    <n v="19504.759999999998"/>
    <x v="3"/>
    <d v="2026-01-15T00:00:00"/>
    <x v="1"/>
  </r>
  <r>
    <s v="ORD1560"/>
    <x v="0"/>
    <x v="0"/>
    <n v="1"/>
    <n v="1873.02"/>
    <n v="1873.02"/>
    <x v="2"/>
    <d v="2026-05-08T00:00:00"/>
    <x v="3"/>
  </r>
  <r>
    <s v="ORD1561"/>
    <x v="7"/>
    <x v="4"/>
    <n v="4"/>
    <n v="6688.38"/>
    <n v="26753.52"/>
    <x v="6"/>
    <d v="2026-05-25T00:00:00"/>
    <x v="3"/>
  </r>
  <r>
    <s v="ORD1562"/>
    <x v="7"/>
    <x v="4"/>
    <n v="1"/>
    <n v="7013.23"/>
    <n v="7013.23"/>
    <x v="7"/>
    <d v="2026-02-28T00:00:00"/>
    <x v="2"/>
  </r>
  <r>
    <s v="ORD1563"/>
    <x v="1"/>
    <x v="1"/>
    <n v="5"/>
    <n v="1492.65"/>
    <n v="7463.25"/>
    <x v="7"/>
    <d v="2026-01-20T00:00:00"/>
    <x v="1"/>
  </r>
  <r>
    <s v="ORD1564"/>
    <x v="0"/>
    <x v="0"/>
    <n v="3"/>
    <n v="1943.75"/>
    <n v="5831.25"/>
    <x v="9"/>
    <d v="2026-06-18T00:00:00"/>
    <x v="4"/>
  </r>
  <r>
    <s v="ORD1565"/>
    <x v="13"/>
    <x v="1"/>
    <n v="2"/>
    <n v="59716.43"/>
    <n v="119432.86"/>
    <x v="6"/>
    <d v="2026-01-05T00:00:00"/>
    <x v="1"/>
  </r>
  <r>
    <s v="ORD1566"/>
    <x v="1"/>
    <x v="1"/>
    <n v="5"/>
    <n v="1393.26"/>
    <n v="6966.3"/>
    <x v="8"/>
    <d v="2026-01-20T00:00:00"/>
    <x v="1"/>
  </r>
  <r>
    <s v="ORD1567"/>
    <x v="4"/>
    <x v="3"/>
    <n v="2"/>
    <n v="809.22"/>
    <n v="1618.44"/>
    <x v="9"/>
    <d v="2026-04-10T00:00:00"/>
    <x v="5"/>
  </r>
  <r>
    <s v="ORD1568"/>
    <x v="0"/>
    <x v="0"/>
    <n v="5"/>
    <n v="1739.42"/>
    <n v="8697.1"/>
    <x v="4"/>
    <d v="2026-06-26T00:00:00"/>
    <x v="4"/>
  </r>
  <r>
    <s v="ORD1569"/>
    <x v="3"/>
    <x v="1"/>
    <n v="1"/>
    <n v="28004.44"/>
    <n v="28004.44"/>
    <x v="6"/>
    <d v="2026-01-14T00:00:00"/>
    <x v="1"/>
  </r>
  <r>
    <s v="ORD1570"/>
    <x v="6"/>
    <x v="1"/>
    <n v="4"/>
    <n v="17035.72"/>
    <n v="68142.880000000005"/>
    <x v="2"/>
    <d v="2026-03-29T00:00:00"/>
    <x v="0"/>
  </r>
  <r>
    <s v="ORD1571"/>
    <x v="2"/>
    <x v="2"/>
    <n v="5"/>
    <n v="490.94"/>
    <n v="2454.6999999999998"/>
    <x v="8"/>
    <d v="2026-03-25T00:00:00"/>
    <x v="0"/>
  </r>
  <r>
    <s v="ORD1572"/>
    <x v="13"/>
    <x v="1"/>
    <n v="3"/>
    <n v="58119.03"/>
    <n v="174357.09"/>
    <x v="3"/>
    <d v="2026-05-06T00:00:00"/>
    <x v="3"/>
  </r>
  <r>
    <s v="ORD1573"/>
    <x v="1"/>
    <x v="1"/>
    <n v="3"/>
    <n v="1515.91"/>
    <n v="4547.7300000000005"/>
    <x v="8"/>
    <d v="2026-04-21T00:00:00"/>
    <x v="5"/>
  </r>
  <r>
    <s v="ORD1574"/>
    <x v="11"/>
    <x v="1"/>
    <n v="5"/>
    <n v="2270.6999999999998"/>
    <n v="11353.5"/>
    <x v="2"/>
    <d v="2026-06-08T00:00:00"/>
    <x v="4"/>
  </r>
  <r>
    <s v="ORD1575"/>
    <x v="4"/>
    <x v="3"/>
    <n v="2"/>
    <n v="833.05"/>
    <n v="1666.1"/>
    <x v="2"/>
    <d v="2026-03-10T00:00:00"/>
    <x v="0"/>
  </r>
  <r>
    <s v="ORD1576"/>
    <x v="11"/>
    <x v="1"/>
    <n v="4"/>
    <n v="2293.14"/>
    <n v="9172.56"/>
    <x v="4"/>
    <d v="2026-04-10T00:00:00"/>
    <x v="5"/>
  </r>
  <r>
    <s v="ORD1577"/>
    <x v="9"/>
    <x v="3"/>
    <n v="3"/>
    <n v="2302.35"/>
    <n v="6907.0499999999993"/>
    <x v="7"/>
    <d v="2026-03-20T00:00:00"/>
    <x v="0"/>
  </r>
  <r>
    <s v="ORD1578"/>
    <x v="8"/>
    <x v="4"/>
    <n v="3"/>
    <n v="3682.94"/>
    <n v="11048.82"/>
    <x v="2"/>
    <d v="2026-02-03T00:00:00"/>
    <x v="2"/>
  </r>
  <r>
    <s v="ORD1579"/>
    <x v="6"/>
    <x v="1"/>
    <n v="2"/>
    <n v="17751.53"/>
    <n v="35503.06"/>
    <x v="1"/>
    <d v="2026-05-23T00:00:00"/>
    <x v="3"/>
  </r>
  <r>
    <s v="ORD1580"/>
    <x v="12"/>
    <x v="4"/>
    <n v="4"/>
    <n v="3866.77"/>
    <n v="15467.08"/>
    <x v="2"/>
    <d v="2026-04-01T00:00:00"/>
    <x v="5"/>
  </r>
  <r>
    <s v="ORD1581"/>
    <x v="12"/>
    <x v="4"/>
    <n v="1"/>
    <n v="4281.42"/>
    <n v="4281.42"/>
    <x v="6"/>
    <d v="2026-04-09T00:00:00"/>
    <x v="5"/>
  </r>
  <r>
    <s v="ORD1582"/>
    <x v="13"/>
    <x v="1"/>
    <n v="3"/>
    <n v="54051.91"/>
    <n v="162155.73000000001"/>
    <x v="2"/>
    <d v="2026-05-24T00:00:00"/>
    <x v="3"/>
  </r>
  <r>
    <s v="ORD1583"/>
    <x v="1"/>
    <x v="1"/>
    <n v="5"/>
    <n v="1506.33"/>
    <n v="7531.65"/>
    <x v="8"/>
    <d v="2026-02-13T00:00:00"/>
    <x v="2"/>
  </r>
  <r>
    <s v="ORD1584"/>
    <x v="11"/>
    <x v="1"/>
    <n v="3"/>
    <n v="2112.5"/>
    <n v="6337.5"/>
    <x v="3"/>
    <d v="2026-02-07T00:00:00"/>
    <x v="2"/>
  </r>
  <r>
    <s v="ORD1585"/>
    <x v="6"/>
    <x v="1"/>
    <n v="2"/>
    <n v="17764.830000000002"/>
    <n v="35529.660000000003"/>
    <x v="8"/>
    <d v="2026-03-18T00:00:00"/>
    <x v="0"/>
  </r>
  <r>
    <s v="ORD1586"/>
    <x v="8"/>
    <x v="4"/>
    <n v="1"/>
    <n v="3402.79"/>
    <n v="3402.79"/>
    <x v="5"/>
    <d v="2026-06-10T00:00:00"/>
    <x v="4"/>
  </r>
  <r>
    <s v="ORD1587"/>
    <x v="8"/>
    <x v="4"/>
    <n v="5"/>
    <n v="3581.67"/>
    <n v="17908.349999999999"/>
    <x v="3"/>
    <d v="2026-01-28T00:00:00"/>
    <x v="1"/>
  </r>
  <r>
    <s v="ORD1588"/>
    <x v="11"/>
    <x v="1"/>
    <n v="3"/>
    <n v="1982.98"/>
    <n v="5948.9400000000005"/>
    <x v="8"/>
    <d v="2026-03-27T00:00:00"/>
    <x v="0"/>
  </r>
  <r>
    <s v="ORD1589"/>
    <x v="7"/>
    <x v="4"/>
    <n v="5"/>
    <n v="6343.86"/>
    <n v="31719.3"/>
    <x v="6"/>
    <d v="2026-04-23T00:00:00"/>
    <x v="5"/>
  </r>
  <r>
    <s v="ORD1590"/>
    <x v="9"/>
    <x v="3"/>
    <n v="4"/>
    <n v="2656.67"/>
    <n v="10626.68"/>
    <x v="9"/>
    <d v="2026-02-04T00:00:00"/>
    <x v="2"/>
  </r>
  <r>
    <s v="ORD1591"/>
    <x v="4"/>
    <x v="3"/>
    <n v="3"/>
    <n v="815.49"/>
    <n v="2446.4700000000003"/>
    <x v="5"/>
    <d v="2026-05-03T00:00:00"/>
    <x v="3"/>
  </r>
  <r>
    <s v="ORD1592"/>
    <x v="9"/>
    <x v="3"/>
    <n v="2"/>
    <n v="2731.19"/>
    <n v="5462.38"/>
    <x v="6"/>
    <d v="2026-03-16T00:00:00"/>
    <x v="0"/>
  </r>
  <r>
    <s v="ORD1593"/>
    <x v="3"/>
    <x v="1"/>
    <n v="4"/>
    <n v="30619.47"/>
    <n v="122477.88"/>
    <x v="5"/>
    <d v="2026-03-25T00:00:00"/>
    <x v="0"/>
  </r>
  <r>
    <s v="ORD1594"/>
    <x v="5"/>
    <x v="0"/>
    <n v="3"/>
    <n v="5315.43"/>
    <n v="15946.29"/>
    <x v="8"/>
    <d v="2026-04-04T00:00:00"/>
    <x v="5"/>
  </r>
  <r>
    <s v="ORD1595"/>
    <x v="6"/>
    <x v="1"/>
    <n v="5"/>
    <n v="16919.28"/>
    <n v="84596.4"/>
    <x v="1"/>
    <d v="2026-02-16T00:00:00"/>
    <x v="2"/>
  </r>
  <r>
    <s v="ORD1596"/>
    <x v="0"/>
    <x v="0"/>
    <n v="5"/>
    <n v="1629.69"/>
    <n v="8148.4500000000007"/>
    <x v="3"/>
    <d v="2026-02-23T00:00:00"/>
    <x v="2"/>
  </r>
  <r>
    <s v="ORD1597"/>
    <x v="8"/>
    <x v="4"/>
    <n v="3"/>
    <n v="3731.9"/>
    <n v="11195.7"/>
    <x v="2"/>
    <d v="2026-04-15T00:00:00"/>
    <x v="5"/>
  </r>
  <r>
    <s v="ORD1598"/>
    <x v="0"/>
    <x v="0"/>
    <n v="4"/>
    <n v="1670.1"/>
    <n v="6680.4"/>
    <x v="0"/>
    <d v="2026-03-03T00:00:00"/>
    <x v="0"/>
  </r>
  <r>
    <s v="ORD1599"/>
    <x v="4"/>
    <x v="3"/>
    <n v="2"/>
    <n v="833.39"/>
    <n v="1666.78"/>
    <x v="8"/>
    <d v="2026-01-19T00:00:00"/>
    <x v="1"/>
  </r>
  <r>
    <s v="ORD1600"/>
    <x v="8"/>
    <x v="4"/>
    <n v="5"/>
    <n v="3485.46"/>
    <n v="17427.3"/>
    <x v="8"/>
    <d v="2026-05-17T00:00:00"/>
    <x v="3"/>
  </r>
  <r>
    <s v="ORD1601"/>
    <x v="12"/>
    <x v="4"/>
    <n v="4"/>
    <n v="4236.66"/>
    <n v="16946.64"/>
    <x v="6"/>
    <d v="2026-06-29T00:00:00"/>
    <x v="4"/>
  </r>
  <r>
    <s v="ORD1602"/>
    <x v="10"/>
    <x v="3"/>
    <n v="5"/>
    <n v="2036.51"/>
    <n v="10182.549999999999"/>
    <x v="2"/>
    <d v="2026-01-28T00:00:00"/>
    <x v="1"/>
  </r>
  <r>
    <s v="ORD1603"/>
    <x v="10"/>
    <x v="3"/>
    <n v="2"/>
    <n v="2062.0100000000002"/>
    <n v="4124.0200000000004"/>
    <x v="6"/>
    <d v="2026-02-12T00:00:00"/>
    <x v="2"/>
  </r>
  <r>
    <s v="ORD1604"/>
    <x v="0"/>
    <x v="0"/>
    <n v="5"/>
    <n v="1635.95"/>
    <n v="8179.75"/>
    <x v="8"/>
    <d v="2026-03-26T00:00:00"/>
    <x v="0"/>
  </r>
  <r>
    <s v="ORD1605"/>
    <x v="10"/>
    <x v="3"/>
    <n v="4"/>
    <n v="1841.46"/>
    <n v="7365.84"/>
    <x v="2"/>
    <d v="2026-03-08T00:00:00"/>
    <x v="0"/>
  </r>
  <r>
    <s v="ORD1606"/>
    <x v="1"/>
    <x v="1"/>
    <n v="5"/>
    <n v="1574.06"/>
    <n v="7870.2999999999993"/>
    <x v="1"/>
    <d v="2026-05-29T00:00:00"/>
    <x v="3"/>
  </r>
  <r>
    <s v="ORD1607"/>
    <x v="3"/>
    <x v="1"/>
    <n v="5"/>
    <n v="26437.78"/>
    <n v="132188.9"/>
    <x v="6"/>
    <d v="2026-04-11T00:00:00"/>
    <x v="5"/>
  </r>
  <r>
    <s v="ORD1608"/>
    <x v="8"/>
    <x v="4"/>
    <n v="5"/>
    <n v="3633.31"/>
    <n v="18166.55"/>
    <x v="4"/>
    <d v="2026-03-30T00:00:00"/>
    <x v="0"/>
  </r>
  <r>
    <s v="ORD1609"/>
    <x v="13"/>
    <x v="1"/>
    <n v="4"/>
    <n v="50650.04"/>
    <n v="202600.16"/>
    <x v="8"/>
    <d v="2026-01-22T00:00:00"/>
    <x v="1"/>
  </r>
  <r>
    <s v="ORD1610"/>
    <x v="6"/>
    <x v="1"/>
    <n v="2"/>
    <n v="17453.98"/>
    <n v="34907.96"/>
    <x v="6"/>
    <d v="2026-04-27T00:00:00"/>
    <x v="5"/>
  </r>
  <r>
    <s v="ORD1611"/>
    <x v="10"/>
    <x v="3"/>
    <n v="2"/>
    <n v="2007.44"/>
    <n v="4014.88"/>
    <x v="6"/>
    <d v="2026-05-02T00:00:00"/>
    <x v="3"/>
  </r>
  <r>
    <s v="ORD1612"/>
    <x v="6"/>
    <x v="1"/>
    <n v="4"/>
    <n v="18799.18"/>
    <n v="75196.72"/>
    <x v="3"/>
    <d v="2026-03-23T00:00:00"/>
    <x v="0"/>
  </r>
  <r>
    <s v="ORD1613"/>
    <x v="6"/>
    <x v="1"/>
    <n v="3"/>
    <n v="16360.86"/>
    <n v="49082.58"/>
    <x v="2"/>
    <d v="2026-01-06T00:00:00"/>
    <x v="1"/>
  </r>
  <r>
    <s v="ORD1614"/>
    <x v="7"/>
    <x v="4"/>
    <n v="3"/>
    <n v="6692.36"/>
    <n v="20077.079999999998"/>
    <x v="4"/>
    <d v="2026-03-04T00:00:00"/>
    <x v="0"/>
  </r>
  <r>
    <s v="ORD1615"/>
    <x v="12"/>
    <x v="4"/>
    <n v="2"/>
    <n v="4243.6000000000004"/>
    <n v="8487.2000000000007"/>
    <x v="6"/>
    <d v="2026-05-24T00:00:00"/>
    <x v="3"/>
  </r>
  <r>
    <s v="ORD1616"/>
    <x v="5"/>
    <x v="0"/>
    <n v="4"/>
    <n v="4730.91"/>
    <n v="18923.64"/>
    <x v="8"/>
    <d v="2026-06-11T00:00:00"/>
    <x v="4"/>
  </r>
  <r>
    <s v="ORD1617"/>
    <x v="11"/>
    <x v="1"/>
    <n v="2"/>
    <n v="2261.81"/>
    <n v="4523.62"/>
    <x v="8"/>
    <d v="2026-04-12T00:00:00"/>
    <x v="5"/>
  </r>
  <r>
    <s v="ORD1618"/>
    <x v="13"/>
    <x v="1"/>
    <n v="5"/>
    <n v="59214.07"/>
    <n v="296070.34999999998"/>
    <x v="3"/>
    <d v="2026-06-01T00:00:00"/>
    <x v="4"/>
  </r>
  <r>
    <s v="ORD1619"/>
    <x v="5"/>
    <x v="0"/>
    <n v="4"/>
    <n v="4503.55"/>
    <n v="18014.2"/>
    <x v="5"/>
    <d v="2026-02-22T00:00:00"/>
    <x v="2"/>
  </r>
  <r>
    <s v="ORD1620"/>
    <x v="4"/>
    <x v="3"/>
    <n v="1"/>
    <n v="811.36"/>
    <n v="811.36"/>
    <x v="1"/>
    <d v="2026-02-17T00:00:00"/>
    <x v="2"/>
  </r>
  <r>
    <s v="ORD1621"/>
    <x v="9"/>
    <x v="3"/>
    <n v="3"/>
    <n v="2347.6"/>
    <n v="7042.7999999999993"/>
    <x v="2"/>
    <d v="2026-03-09T00:00:00"/>
    <x v="0"/>
  </r>
  <r>
    <s v="ORD1622"/>
    <x v="0"/>
    <x v="0"/>
    <n v="4"/>
    <n v="1809.98"/>
    <n v="7239.92"/>
    <x v="6"/>
    <d v="2026-06-02T00:00:00"/>
    <x v="4"/>
  </r>
  <r>
    <s v="ORD1623"/>
    <x v="5"/>
    <x v="0"/>
    <n v="5"/>
    <n v="4891.57"/>
    <n v="24457.85"/>
    <x v="2"/>
    <d v="2026-03-31T00:00:00"/>
    <x v="0"/>
  </r>
  <r>
    <s v="ORD1624"/>
    <x v="9"/>
    <x v="3"/>
    <n v="4"/>
    <n v="2557.66"/>
    <n v="10230.64"/>
    <x v="0"/>
    <d v="2026-06-07T00:00:00"/>
    <x v="4"/>
  </r>
  <r>
    <s v="ORD1625"/>
    <x v="2"/>
    <x v="2"/>
    <n v="1"/>
    <n v="465.49"/>
    <n v="465.49"/>
    <x v="6"/>
    <d v="2026-01-31T00:00:00"/>
    <x v="1"/>
  </r>
  <r>
    <s v="ORD1626"/>
    <x v="1"/>
    <x v="1"/>
    <n v="3"/>
    <n v="1385.08"/>
    <n v="4155.24"/>
    <x v="6"/>
    <d v="2026-06-27T00:00:00"/>
    <x v="4"/>
  </r>
  <r>
    <s v="ORD1627"/>
    <x v="11"/>
    <x v="1"/>
    <n v="5"/>
    <n v="2150.92"/>
    <n v="10754.6"/>
    <x v="9"/>
    <d v="2026-02-05T00:00:00"/>
    <x v="2"/>
  </r>
  <r>
    <s v="ORD1628"/>
    <x v="2"/>
    <x v="2"/>
    <n v="4"/>
    <n v="443.07"/>
    <n v="1772.28"/>
    <x v="3"/>
    <d v="2026-06-12T00:00:00"/>
    <x v="4"/>
  </r>
  <r>
    <s v="ORD1629"/>
    <x v="12"/>
    <x v="4"/>
    <n v="2"/>
    <n v="4246.13"/>
    <n v="8492.26"/>
    <x v="3"/>
    <d v="2026-03-15T00:00:00"/>
    <x v="0"/>
  </r>
  <r>
    <s v="ORD1630"/>
    <x v="11"/>
    <x v="1"/>
    <n v="2"/>
    <n v="2118.42"/>
    <n v="4236.84"/>
    <x v="3"/>
    <d v="2026-06-08T00:00:00"/>
    <x v="4"/>
  </r>
  <r>
    <s v="ORD1631"/>
    <x v="13"/>
    <x v="1"/>
    <n v="3"/>
    <n v="59970.26"/>
    <n v="179910.78"/>
    <x v="3"/>
    <d v="2026-02-04T00:00:00"/>
    <x v="2"/>
  </r>
  <r>
    <s v="ORD1632"/>
    <x v="1"/>
    <x v="1"/>
    <n v="4"/>
    <n v="1639.15"/>
    <n v="6556.6"/>
    <x v="1"/>
    <d v="2026-06-17T00:00:00"/>
    <x v="4"/>
  </r>
  <r>
    <s v="ORD1633"/>
    <x v="8"/>
    <x v="4"/>
    <n v="4"/>
    <n v="3629.29"/>
    <n v="14517.16"/>
    <x v="8"/>
    <d v="2026-04-24T00:00:00"/>
    <x v="5"/>
  </r>
  <r>
    <s v="ORD1634"/>
    <x v="8"/>
    <x v="4"/>
    <n v="2"/>
    <n v="3207.87"/>
    <n v="6415.74"/>
    <x v="7"/>
    <d v="2026-02-26T00:00:00"/>
    <x v="2"/>
  </r>
  <r>
    <s v="ORD1635"/>
    <x v="4"/>
    <x v="3"/>
    <n v="1"/>
    <n v="763.02"/>
    <n v="763.02"/>
    <x v="1"/>
    <d v="2026-03-15T00:00:00"/>
    <x v="0"/>
  </r>
  <r>
    <s v="ORD1636"/>
    <x v="11"/>
    <x v="1"/>
    <n v="4"/>
    <n v="2228.89"/>
    <n v="8915.56"/>
    <x v="3"/>
    <d v="2026-05-21T00:00:00"/>
    <x v="3"/>
  </r>
  <r>
    <s v="ORD1637"/>
    <x v="12"/>
    <x v="4"/>
    <n v="1"/>
    <n v="4261.08"/>
    <n v="4261.08"/>
    <x v="0"/>
    <d v="2026-05-20T00:00:00"/>
    <x v="3"/>
  </r>
  <r>
    <s v="ORD1638"/>
    <x v="7"/>
    <x v="4"/>
    <n v="3"/>
    <n v="6554.66"/>
    <n v="19663.98"/>
    <x v="7"/>
    <d v="2026-04-23T00:00:00"/>
    <x v="5"/>
  </r>
  <r>
    <s v="ORD1639"/>
    <x v="12"/>
    <x v="4"/>
    <n v="2"/>
    <n v="4611.41"/>
    <n v="9222.82"/>
    <x v="2"/>
    <d v="2026-06-17T00:00:00"/>
    <x v="4"/>
  </r>
  <r>
    <s v="ORD1640"/>
    <x v="10"/>
    <x v="3"/>
    <n v="2"/>
    <n v="1918.12"/>
    <n v="3836.24"/>
    <x v="7"/>
    <d v="2026-04-26T00:00:00"/>
    <x v="5"/>
  </r>
  <r>
    <s v="ORD1641"/>
    <x v="4"/>
    <x v="3"/>
    <n v="3"/>
    <n v="856.88"/>
    <n v="2570.64"/>
    <x v="2"/>
    <d v="2026-04-23T00:00:00"/>
    <x v="5"/>
  </r>
  <r>
    <s v="ORD1642"/>
    <x v="7"/>
    <x v="4"/>
    <n v="1"/>
    <n v="6858.32"/>
    <n v="6858.32"/>
    <x v="5"/>
    <d v="2026-02-23T00:00:00"/>
    <x v="2"/>
  </r>
  <r>
    <s v="ORD1643"/>
    <x v="10"/>
    <x v="3"/>
    <n v="5"/>
    <n v="2074.62"/>
    <n v="10373.099999999999"/>
    <x v="9"/>
    <d v="2026-06-11T00:00:00"/>
    <x v="4"/>
  </r>
  <r>
    <s v="ORD1644"/>
    <x v="5"/>
    <x v="0"/>
    <n v="2"/>
    <n v="5115.13"/>
    <n v="10230.26"/>
    <x v="5"/>
    <d v="2026-02-22T00:00:00"/>
    <x v="2"/>
  </r>
  <r>
    <s v="ORD1645"/>
    <x v="10"/>
    <x v="3"/>
    <n v="1"/>
    <n v="2027.02"/>
    <n v="2027.02"/>
    <x v="1"/>
    <d v="2026-03-13T00:00:00"/>
    <x v="0"/>
  </r>
  <r>
    <s v="ORD1646"/>
    <x v="2"/>
    <x v="2"/>
    <n v="5"/>
    <n v="420.15"/>
    <n v="2100.75"/>
    <x v="0"/>
    <d v="2026-03-16T00:00:00"/>
    <x v="0"/>
  </r>
  <r>
    <s v="ORD1647"/>
    <x v="2"/>
    <x v="2"/>
    <n v="3"/>
    <n v="490.72"/>
    <n v="1472.16"/>
    <x v="1"/>
    <d v="2026-06-23T00:00:00"/>
    <x v="4"/>
  </r>
  <r>
    <s v="ORD1648"/>
    <x v="7"/>
    <x v="4"/>
    <n v="1"/>
    <n v="6026.27"/>
    <n v="6026.27"/>
    <x v="8"/>
    <d v="2026-01-16T00:00:00"/>
    <x v="1"/>
  </r>
  <r>
    <s v="ORD1649"/>
    <x v="4"/>
    <x v="3"/>
    <n v="2"/>
    <n v="831.19"/>
    <n v="1662.38"/>
    <x v="4"/>
    <d v="2026-03-05T00:00:00"/>
    <x v="0"/>
  </r>
  <r>
    <s v="ORD1650"/>
    <x v="11"/>
    <x v="1"/>
    <n v="3"/>
    <n v="2344.5300000000002"/>
    <n v="7033.59"/>
    <x v="8"/>
    <d v="2026-05-06T00:00:00"/>
    <x v="3"/>
  </r>
  <r>
    <s v="ORD1651"/>
    <x v="11"/>
    <x v="1"/>
    <n v="5"/>
    <n v="2258.2600000000002"/>
    <n v="11291.300000000001"/>
    <x v="8"/>
    <d v="2026-04-07T00:00:00"/>
    <x v="5"/>
  </r>
  <r>
    <s v="ORD1652"/>
    <x v="8"/>
    <x v="4"/>
    <n v="1"/>
    <n v="3593.54"/>
    <n v="3593.54"/>
    <x v="2"/>
    <d v="2026-04-14T00:00:00"/>
    <x v="5"/>
  </r>
  <r>
    <s v="ORD1653"/>
    <x v="12"/>
    <x v="4"/>
    <n v="3"/>
    <n v="4363.55"/>
    <n v="13090.650000000001"/>
    <x v="6"/>
    <d v="2026-04-27T00:00:00"/>
    <x v="5"/>
  </r>
  <r>
    <s v="ORD1654"/>
    <x v="8"/>
    <x v="4"/>
    <n v="3"/>
    <n v="3557.37"/>
    <n v="10672.11"/>
    <x v="2"/>
    <d v="2026-04-28T00:00:00"/>
    <x v="5"/>
  </r>
  <r>
    <s v="ORD1655"/>
    <x v="0"/>
    <x v="0"/>
    <n v="3"/>
    <n v="1926.04"/>
    <n v="5778.12"/>
    <x v="1"/>
    <d v="2026-04-12T00:00:00"/>
    <x v="5"/>
  </r>
  <r>
    <s v="ORD1656"/>
    <x v="1"/>
    <x v="1"/>
    <n v="4"/>
    <n v="1597.45"/>
    <n v="6389.8"/>
    <x v="3"/>
    <d v="2026-03-10T00:00:00"/>
    <x v="0"/>
  </r>
  <r>
    <s v="ORD1657"/>
    <x v="9"/>
    <x v="3"/>
    <n v="3"/>
    <n v="2417.91"/>
    <n v="7253.73"/>
    <x v="9"/>
    <d v="2026-02-03T00:00:00"/>
    <x v="2"/>
  </r>
  <r>
    <s v="ORD1658"/>
    <x v="2"/>
    <x v="2"/>
    <n v="4"/>
    <n v="475.95"/>
    <n v="1903.8"/>
    <x v="7"/>
    <d v="2026-01-12T00:00:00"/>
    <x v="1"/>
  </r>
  <r>
    <s v="ORD1659"/>
    <x v="6"/>
    <x v="1"/>
    <n v="4"/>
    <n v="16258.61"/>
    <n v="65034.44"/>
    <x v="4"/>
    <d v="2026-04-23T00:00:00"/>
    <x v="5"/>
  </r>
  <r>
    <s v="ORD1660"/>
    <x v="8"/>
    <x v="4"/>
    <n v="1"/>
    <n v="3844.29"/>
    <n v="3844.29"/>
    <x v="8"/>
    <d v="2026-02-21T00:00:00"/>
    <x v="2"/>
  </r>
  <r>
    <s v="ORD1661"/>
    <x v="3"/>
    <x v="1"/>
    <n v="2"/>
    <n v="30140.03"/>
    <n v="60280.06"/>
    <x v="0"/>
    <d v="2026-02-10T00:00:00"/>
    <x v="2"/>
  </r>
  <r>
    <s v="ORD1662"/>
    <x v="7"/>
    <x v="4"/>
    <n v="3"/>
    <n v="5971.34"/>
    <n v="17914.02"/>
    <x v="6"/>
    <d v="2026-03-06T00:00:00"/>
    <x v="0"/>
  </r>
  <r>
    <s v="ORD1663"/>
    <x v="6"/>
    <x v="1"/>
    <n v="3"/>
    <n v="18592.23"/>
    <n v="55776.69"/>
    <x v="4"/>
    <d v="2026-01-14T00:00:00"/>
    <x v="1"/>
  </r>
  <r>
    <s v="ORD1664"/>
    <x v="5"/>
    <x v="0"/>
    <n v="3"/>
    <n v="5224.9399999999996"/>
    <n v="15674.82"/>
    <x v="5"/>
    <d v="2026-04-20T00:00:00"/>
    <x v="5"/>
  </r>
  <r>
    <s v="ORD1665"/>
    <x v="0"/>
    <x v="0"/>
    <n v="1"/>
    <n v="1873.33"/>
    <n v="1873.33"/>
    <x v="7"/>
    <d v="2026-02-24T00:00:00"/>
    <x v="2"/>
  </r>
  <r>
    <s v="ORD1666"/>
    <x v="8"/>
    <x v="4"/>
    <n v="1"/>
    <n v="3242.89"/>
    <n v="3242.89"/>
    <x v="5"/>
    <d v="2026-05-13T00:00:00"/>
    <x v="3"/>
  </r>
  <r>
    <s v="ORD1667"/>
    <x v="0"/>
    <x v="0"/>
    <n v="4"/>
    <n v="1623.34"/>
    <n v="6493.36"/>
    <x v="6"/>
    <d v="2026-01-31T00:00:00"/>
    <x v="1"/>
  </r>
  <r>
    <s v="ORD1668"/>
    <x v="7"/>
    <x v="4"/>
    <n v="4"/>
    <n v="6752.24"/>
    <n v="27008.959999999999"/>
    <x v="3"/>
    <d v="2026-01-19T00:00:00"/>
    <x v="1"/>
  </r>
  <r>
    <s v="ORD1669"/>
    <x v="1"/>
    <x v="1"/>
    <n v="4"/>
    <n v="1376.8"/>
    <n v="5507.2"/>
    <x v="2"/>
    <d v="2026-01-27T00:00:00"/>
    <x v="1"/>
  </r>
  <r>
    <s v="ORD1670"/>
    <x v="9"/>
    <x v="3"/>
    <n v="3"/>
    <n v="2689.42"/>
    <n v="8068.26"/>
    <x v="4"/>
    <d v="2026-04-08T00:00:00"/>
    <x v="5"/>
  </r>
  <r>
    <s v="ORD1671"/>
    <x v="10"/>
    <x v="3"/>
    <n v="2"/>
    <n v="2055.6"/>
    <n v="4111.2"/>
    <x v="4"/>
    <d v="2026-01-18T00:00:00"/>
    <x v="1"/>
  </r>
  <r>
    <s v="ORD1672"/>
    <x v="12"/>
    <x v="4"/>
    <n v="5"/>
    <n v="3787.12"/>
    <n v="18935.599999999999"/>
    <x v="4"/>
    <d v="2026-04-23T00:00:00"/>
    <x v="5"/>
  </r>
  <r>
    <s v="ORD1673"/>
    <x v="9"/>
    <x v="3"/>
    <n v="2"/>
    <n v="2563.0100000000002"/>
    <n v="5126.0200000000004"/>
    <x v="4"/>
    <d v="2026-04-16T00:00:00"/>
    <x v="5"/>
  </r>
  <r>
    <s v="ORD1674"/>
    <x v="2"/>
    <x v="2"/>
    <n v="4"/>
    <n v="482.4"/>
    <n v="1929.6"/>
    <x v="2"/>
    <d v="2026-01-26T00:00:00"/>
    <x v="1"/>
  </r>
  <r>
    <s v="ORD1675"/>
    <x v="11"/>
    <x v="1"/>
    <n v="1"/>
    <n v="2239.41"/>
    <n v="2239.41"/>
    <x v="8"/>
    <d v="2026-03-31T00:00:00"/>
    <x v="0"/>
  </r>
  <r>
    <s v="ORD1676"/>
    <x v="5"/>
    <x v="0"/>
    <n v="3"/>
    <n v="5290.02"/>
    <n v="15870.060000000001"/>
    <x v="5"/>
    <d v="2026-03-12T00:00:00"/>
    <x v="0"/>
  </r>
  <r>
    <s v="ORD1677"/>
    <x v="0"/>
    <x v="0"/>
    <n v="1"/>
    <n v="1709.34"/>
    <n v="1709.34"/>
    <x v="9"/>
    <d v="2026-06-03T00:00:00"/>
    <x v="4"/>
  </r>
  <r>
    <s v="ORD1678"/>
    <x v="3"/>
    <x v="1"/>
    <n v="5"/>
    <n v="26795.56"/>
    <n v="133977.80000000002"/>
    <x v="7"/>
    <d v="2026-06-18T00:00:00"/>
    <x v="4"/>
  </r>
  <r>
    <s v="ORD1679"/>
    <x v="4"/>
    <x v="3"/>
    <n v="2"/>
    <n v="801.84"/>
    <n v="1603.68"/>
    <x v="1"/>
    <d v="2026-02-18T00:00:00"/>
    <x v="2"/>
  </r>
  <r>
    <s v="ORD1680"/>
    <x v="3"/>
    <x v="1"/>
    <n v="4"/>
    <n v="26855.040000000001"/>
    <n v="107420.16"/>
    <x v="7"/>
    <d v="2026-03-03T00:00:00"/>
    <x v="0"/>
  </r>
  <r>
    <s v="ORD1681"/>
    <x v="8"/>
    <x v="4"/>
    <n v="4"/>
    <n v="3228.92"/>
    <n v="12915.68"/>
    <x v="3"/>
    <d v="2026-06-13T00:00:00"/>
    <x v="4"/>
  </r>
  <r>
    <s v="ORD1682"/>
    <x v="2"/>
    <x v="2"/>
    <n v="1"/>
    <n v="452.55"/>
    <n v="452.55"/>
    <x v="7"/>
    <d v="2026-04-03T00:00:00"/>
    <x v="5"/>
  </r>
  <r>
    <s v="ORD1683"/>
    <x v="9"/>
    <x v="3"/>
    <n v="2"/>
    <n v="2442.44"/>
    <n v="4884.88"/>
    <x v="9"/>
    <d v="2026-04-18T00:00:00"/>
    <x v="5"/>
  </r>
  <r>
    <s v="ORD1684"/>
    <x v="9"/>
    <x v="3"/>
    <n v="5"/>
    <n v="2590.4299999999998"/>
    <n v="12952.15"/>
    <x v="3"/>
    <d v="2026-01-19T00:00:00"/>
    <x v="1"/>
  </r>
  <r>
    <s v="ORD1685"/>
    <x v="13"/>
    <x v="1"/>
    <n v="5"/>
    <n v="50242.86"/>
    <n v="251214.3"/>
    <x v="0"/>
    <d v="2026-02-25T00:00:00"/>
    <x v="2"/>
  </r>
  <r>
    <s v="ORD1686"/>
    <x v="13"/>
    <x v="1"/>
    <n v="1"/>
    <n v="59935.48"/>
    <n v="59935.48"/>
    <x v="8"/>
    <d v="2026-05-10T00:00:00"/>
    <x v="3"/>
  </r>
  <r>
    <s v="ORD1687"/>
    <x v="4"/>
    <x v="3"/>
    <n v="5"/>
    <n v="841.68"/>
    <n v="4208.3999999999996"/>
    <x v="8"/>
    <d v="2026-06-29T00:00:00"/>
    <x v="4"/>
  </r>
  <r>
    <s v="ORD1688"/>
    <x v="5"/>
    <x v="0"/>
    <n v="1"/>
    <n v="5139.51"/>
    <n v="5139.51"/>
    <x v="1"/>
    <d v="2026-06-07T00:00:00"/>
    <x v="4"/>
  </r>
  <r>
    <s v="ORD1689"/>
    <x v="11"/>
    <x v="1"/>
    <n v="3"/>
    <n v="2016.78"/>
    <n v="6050.34"/>
    <x v="2"/>
    <d v="2026-05-11T00:00:00"/>
    <x v="3"/>
  </r>
  <r>
    <s v="ORD1690"/>
    <x v="1"/>
    <x v="1"/>
    <n v="2"/>
    <n v="1510.92"/>
    <n v="3021.84"/>
    <x v="8"/>
    <d v="2026-05-31T00:00:00"/>
    <x v="3"/>
  </r>
  <r>
    <s v="ORD1691"/>
    <x v="0"/>
    <x v="0"/>
    <n v="1"/>
    <n v="1731.66"/>
    <n v="1731.66"/>
    <x v="8"/>
    <d v="2026-03-03T00:00:00"/>
    <x v="0"/>
  </r>
  <r>
    <s v="ORD1692"/>
    <x v="13"/>
    <x v="1"/>
    <n v="2"/>
    <n v="50448.34"/>
    <n v="100896.68"/>
    <x v="8"/>
    <d v="2026-01-30T00:00:00"/>
    <x v="1"/>
  </r>
  <r>
    <s v="ORD1693"/>
    <x v="8"/>
    <x v="4"/>
    <n v="5"/>
    <n v="3576.18"/>
    <n v="17880.899999999998"/>
    <x v="0"/>
    <d v="2026-06-20T00:00:00"/>
    <x v="4"/>
  </r>
  <r>
    <s v="ORD1694"/>
    <x v="3"/>
    <x v="1"/>
    <n v="2"/>
    <n v="25868.880000000001"/>
    <n v="51737.760000000002"/>
    <x v="4"/>
    <d v="2026-06-29T00:00:00"/>
    <x v="4"/>
  </r>
  <r>
    <s v="ORD1695"/>
    <x v="13"/>
    <x v="1"/>
    <n v="2"/>
    <n v="54960.54"/>
    <n v="109921.08"/>
    <x v="6"/>
    <d v="2026-05-14T00:00:00"/>
    <x v="3"/>
  </r>
  <r>
    <s v="ORD1696"/>
    <x v="12"/>
    <x v="4"/>
    <n v="3"/>
    <n v="3920.25"/>
    <n v="11760.75"/>
    <x v="4"/>
    <d v="2026-03-10T00:00:00"/>
    <x v="0"/>
  </r>
  <r>
    <s v="ORD1697"/>
    <x v="3"/>
    <x v="1"/>
    <n v="1"/>
    <n v="29520.01"/>
    <n v="29520.01"/>
    <x v="7"/>
    <d v="2026-03-27T00:00:00"/>
    <x v="0"/>
  </r>
  <r>
    <s v="ORD1698"/>
    <x v="10"/>
    <x v="3"/>
    <n v="4"/>
    <n v="1907.84"/>
    <n v="7631.36"/>
    <x v="2"/>
    <d v="2026-03-09T00:00:00"/>
    <x v="0"/>
  </r>
  <r>
    <s v="ORD1699"/>
    <x v="3"/>
    <x v="1"/>
    <n v="5"/>
    <n v="28714.18"/>
    <n v="143570.9"/>
    <x v="3"/>
    <d v="2026-04-27T00:00:00"/>
    <x v="5"/>
  </r>
  <r>
    <s v="ORD1700"/>
    <x v="12"/>
    <x v="4"/>
    <n v="3"/>
    <n v="3826.57"/>
    <n v="11479.710000000001"/>
    <x v="9"/>
    <d v="2026-02-12T00:00:00"/>
    <x v="2"/>
  </r>
  <r>
    <s v="ORD1701"/>
    <x v="9"/>
    <x v="3"/>
    <n v="2"/>
    <n v="2376.61"/>
    <n v="4753.22"/>
    <x v="2"/>
    <d v="2026-05-27T00:00:00"/>
    <x v="3"/>
  </r>
  <r>
    <s v="ORD1702"/>
    <x v="0"/>
    <x v="0"/>
    <n v="1"/>
    <n v="1702.23"/>
    <n v="1702.23"/>
    <x v="1"/>
    <d v="2026-01-01T00:00:00"/>
    <x v="1"/>
  </r>
  <r>
    <s v="ORD1703"/>
    <x v="13"/>
    <x v="1"/>
    <n v="1"/>
    <n v="52190.07"/>
    <n v="52190.07"/>
    <x v="3"/>
    <d v="2026-04-04T00:00:00"/>
    <x v="5"/>
  </r>
  <r>
    <s v="ORD1704"/>
    <x v="5"/>
    <x v="0"/>
    <n v="2"/>
    <n v="4678.03"/>
    <n v="9356.06"/>
    <x v="7"/>
    <d v="2026-05-22T00:00:00"/>
    <x v="3"/>
  </r>
  <r>
    <s v="ORD1705"/>
    <x v="10"/>
    <x v="3"/>
    <n v="4"/>
    <n v="1888.86"/>
    <n v="7555.44"/>
    <x v="5"/>
    <d v="2026-04-17T00:00:00"/>
    <x v="5"/>
  </r>
  <r>
    <s v="ORD1706"/>
    <x v="3"/>
    <x v="1"/>
    <n v="3"/>
    <n v="26719.040000000001"/>
    <n v="80157.119999999995"/>
    <x v="2"/>
    <d v="2026-05-27T00:00:00"/>
    <x v="3"/>
  </r>
  <r>
    <s v="ORD1707"/>
    <x v="9"/>
    <x v="3"/>
    <n v="1"/>
    <n v="2500.02"/>
    <n v="2500.02"/>
    <x v="7"/>
    <d v="2026-02-15T00:00:00"/>
    <x v="2"/>
  </r>
  <r>
    <s v="ORD1708"/>
    <x v="1"/>
    <x v="1"/>
    <n v="5"/>
    <n v="1644.42"/>
    <n v="8222.1"/>
    <x v="8"/>
    <d v="2026-01-18T00:00:00"/>
    <x v="1"/>
  </r>
  <r>
    <s v="ORD1709"/>
    <x v="8"/>
    <x v="4"/>
    <n v="3"/>
    <n v="3691.47"/>
    <n v="11074.41"/>
    <x v="0"/>
    <d v="2026-03-25T00:00:00"/>
    <x v="0"/>
  </r>
  <r>
    <s v="ORD1710"/>
    <x v="6"/>
    <x v="1"/>
    <n v="5"/>
    <n v="17844.29"/>
    <n v="89221.450000000012"/>
    <x v="6"/>
    <d v="2026-02-21T00:00:00"/>
    <x v="2"/>
  </r>
  <r>
    <s v="ORD1711"/>
    <x v="4"/>
    <x v="3"/>
    <n v="5"/>
    <n v="844.46"/>
    <n v="4222.3"/>
    <x v="9"/>
    <d v="2026-03-04T00:00:00"/>
    <x v="0"/>
  </r>
  <r>
    <s v="ORD1712"/>
    <x v="8"/>
    <x v="4"/>
    <n v="3"/>
    <n v="3564.18"/>
    <n v="10692.539999999999"/>
    <x v="3"/>
    <d v="2026-02-20T00:00:00"/>
    <x v="2"/>
  </r>
  <r>
    <s v="ORD1713"/>
    <x v="3"/>
    <x v="1"/>
    <n v="5"/>
    <n v="29458.7"/>
    <n v="147293.5"/>
    <x v="5"/>
    <d v="2026-02-08T00:00:00"/>
    <x v="2"/>
  </r>
  <r>
    <s v="ORD1714"/>
    <x v="13"/>
    <x v="1"/>
    <n v="4"/>
    <n v="49763.01"/>
    <n v="199052.04"/>
    <x v="1"/>
    <d v="2026-03-30T00:00:00"/>
    <x v="0"/>
  </r>
  <r>
    <s v="ORD1715"/>
    <x v="0"/>
    <x v="0"/>
    <n v="1"/>
    <n v="1962.36"/>
    <n v="1962.36"/>
    <x v="7"/>
    <d v="2026-06-18T00:00:00"/>
    <x v="4"/>
  </r>
  <r>
    <s v="ORD1716"/>
    <x v="5"/>
    <x v="0"/>
    <n v="3"/>
    <n v="4603.03"/>
    <n v="13809.09"/>
    <x v="1"/>
    <d v="2026-03-02T00:00:00"/>
    <x v="0"/>
  </r>
  <r>
    <s v="ORD1717"/>
    <x v="5"/>
    <x v="0"/>
    <n v="4"/>
    <n v="5460.09"/>
    <n v="21840.36"/>
    <x v="4"/>
    <d v="2026-03-13T00:00:00"/>
    <x v="0"/>
  </r>
  <r>
    <s v="ORD1718"/>
    <x v="6"/>
    <x v="1"/>
    <n v="1"/>
    <n v="19516.59"/>
    <n v="19516.59"/>
    <x v="1"/>
    <d v="2026-04-16T00:00:00"/>
    <x v="5"/>
  </r>
  <r>
    <s v="ORD1719"/>
    <x v="3"/>
    <x v="1"/>
    <n v="3"/>
    <n v="27767.360000000001"/>
    <n v="83302.080000000002"/>
    <x v="2"/>
    <d v="2026-05-29T00:00:00"/>
    <x v="3"/>
  </r>
  <r>
    <s v="ORD1720"/>
    <x v="6"/>
    <x v="1"/>
    <n v="5"/>
    <n v="16680.650000000001"/>
    <n v="83403.25"/>
    <x v="8"/>
    <d v="2026-01-20T00:00:00"/>
    <x v="1"/>
  </r>
  <r>
    <s v="ORD1721"/>
    <x v="2"/>
    <x v="2"/>
    <n v="5"/>
    <n v="410.61"/>
    <n v="2053.0500000000002"/>
    <x v="4"/>
    <d v="2026-03-02T00:00:00"/>
    <x v="0"/>
  </r>
  <r>
    <s v="ORD1722"/>
    <x v="4"/>
    <x v="3"/>
    <n v="3"/>
    <n v="855.08"/>
    <n v="2565.2400000000002"/>
    <x v="8"/>
    <d v="2026-06-29T00:00:00"/>
    <x v="4"/>
  </r>
  <r>
    <s v="ORD1723"/>
    <x v="7"/>
    <x v="4"/>
    <n v="3"/>
    <n v="6263.48"/>
    <n v="18790.439999999999"/>
    <x v="0"/>
    <d v="2026-03-01T00:00:00"/>
    <x v="0"/>
  </r>
  <r>
    <s v="ORD1724"/>
    <x v="6"/>
    <x v="1"/>
    <n v="2"/>
    <n v="16690"/>
    <n v="33380"/>
    <x v="9"/>
    <d v="2026-01-28T00:00:00"/>
    <x v="1"/>
  </r>
  <r>
    <s v="ORD1725"/>
    <x v="11"/>
    <x v="1"/>
    <n v="1"/>
    <n v="2052.3200000000002"/>
    <n v="2052.3200000000002"/>
    <x v="3"/>
    <d v="2026-03-22T00:00:00"/>
    <x v="0"/>
  </r>
  <r>
    <s v="ORD1726"/>
    <x v="5"/>
    <x v="0"/>
    <n v="1"/>
    <n v="5034.92"/>
    <n v="5034.92"/>
    <x v="5"/>
    <d v="2026-04-26T00:00:00"/>
    <x v="5"/>
  </r>
  <r>
    <s v="ORD1727"/>
    <x v="4"/>
    <x v="3"/>
    <n v="4"/>
    <n v="761.45"/>
    <n v="3045.8"/>
    <x v="2"/>
    <d v="2026-01-24T00:00:00"/>
    <x v="1"/>
  </r>
  <r>
    <s v="ORD1728"/>
    <x v="11"/>
    <x v="1"/>
    <n v="3"/>
    <n v="2343.61"/>
    <n v="7030.83"/>
    <x v="9"/>
    <d v="2026-01-11T00:00:00"/>
    <x v="1"/>
  </r>
  <r>
    <s v="ORD1729"/>
    <x v="1"/>
    <x v="1"/>
    <n v="3"/>
    <n v="1394.5"/>
    <n v="4183.5"/>
    <x v="5"/>
    <d v="2026-04-02T00:00:00"/>
    <x v="5"/>
  </r>
  <r>
    <s v="ORD1730"/>
    <x v="5"/>
    <x v="0"/>
    <n v="5"/>
    <n v="4548.04"/>
    <n v="22740.2"/>
    <x v="0"/>
    <d v="2026-03-08T00:00:00"/>
    <x v="0"/>
  </r>
  <r>
    <s v="ORD1731"/>
    <x v="7"/>
    <x v="4"/>
    <n v="2"/>
    <n v="5890.41"/>
    <n v="11780.82"/>
    <x v="8"/>
    <d v="2026-04-26T00:00:00"/>
    <x v="5"/>
  </r>
  <r>
    <s v="ORD1732"/>
    <x v="12"/>
    <x v="4"/>
    <n v="5"/>
    <n v="3989.88"/>
    <n v="19949.400000000001"/>
    <x v="3"/>
    <d v="2026-01-27T00:00:00"/>
    <x v="1"/>
  </r>
  <r>
    <s v="ORD1733"/>
    <x v="10"/>
    <x v="3"/>
    <n v="2"/>
    <n v="1847.66"/>
    <n v="3695.32"/>
    <x v="7"/>
    <d v="2026-02-26T00:00:00"/>
    <x v="2"/>
  </r>
  <r>
    <s v="ORD1734"/>
    <x v="11"/>
    <x v="1"/>
    <n v="2"/>
    <n v="2342.42"/>
    <n v="4684.84"/>
    <x v="6"/>
    <d v="2026-06-25T00:00:00"/>
    <x v="4"/>
  </r>
  <r>
    <s v="ORD1735"/>
    <x v="0"/>
    <x v="0"/>
    <n v="1"/>
    <n v="1829.64"/>
    <n v="1829.64"/>
    <x v="0"/>
    <d v="2026-01-20T00:00:00"/>
    <x v="1"/>
  </r>
  <r>
    <s v="ORD1736"/>
    <x v="13"/>
    <x v="1"/>
    <n v="1"/>
    <n v="51675.25"/>
    <n v="51675.25"/>
    <x v="3"/>
    <d v="2026-02-02T00:00:00"/>
    <x v="2"/>
  </r>
  <r>
    <s v="ORD1737"/>
    <x v="6"/>
    <x v="1"/>
    <n v="3"/>
    <n v="16641.099999999999"/>
    <n v="49923.299999999996"/>
    <x v="3"/>
    <d v="2026-01-13T00:00:00"/>
    <x v="1"/>
  </r>
  <r>
    <s v="ORD1738"/>
    <x v="11"/>
    <x v="1"/>
    <n v="5"/>
    <n v="2170.59"/>
    <n v="10852.95"/>
    <x v="8"/>
    <d v="2026-05-08T00:00:00"/>
    <x v="3"/>
  </r>
  <r>
    <s v="ORD1739"/>
    <x v="13"/>
    <x v="1"/>
    <n v="4"/>
    <n v="57015.34"/>
    <n v="228061.36"/>
    <x v="4"/>
    <d v="2026-04-01T00:00:00"/>
    <x v="5"/>
  </r>
  <r>
    <s v="ORD1740"/>
    <x v="1"/>
    <x v="1"/>
    <n v="2"/>
    <n v="1432.49"/>
    <n v="2864.98"/>
    <x v="3"/>
    <d v="2026-02-08T00:00:00"/>
    <x v="2"/>
  </r>
  <r>
    <s v="ORD1741"/>
    <x v="13"/>
    <x v="1"/>
    <n v="5"/>
    <n v="56310.94"/>
    <n v="281554.7"/>
    <x v="5"/>
    <d v="2026-06-15T00:00:00"/>
    <x v="4"/>
  </r>
  <r>
    <s v="ORD1742"/>
    <x v="4"/>
    <x v="3"/>
    <n v="4"/>
    <n v="784.94"/>
    <n v="3139.76"/>
    <x v="1"/>
    <d v="2026-05-03T00:00:00"/>
    <x v="3"/>
  </r>
  <r>
    <s v="ORD1743"/>
    <x v="13"/>
    <x v="1"/>
    <n v="1"/>
    <n v="52577.54"/>
    <n v="52577.54"/>
    <x v="4"/>
    <d v="2026-04-18T00:00:00"/>
    <x v="5"/>
  </r>
  <r>
    <s v="ORD1744"/>
    <x v="1"/>
    <x v="1"/>
    <n v="5"/>
    <n v="1424.74"/>
    <n v="7123.7"/>
    <x v="1"/>
    <d v="2026-01-05T00:00:00"/>
    <x v="1"/>
  </r>
  <r>
    <s v="ORD1745"/>
    <x v="5"/>
    <x v="0"/>
    <n v="3"/>
    <n v="4978.6899999999996"/>
    <n v="14936.07"/>
    <x v="3"/>
    <d v="2026-03-30T00:00:00"/>
    <x v="0"/>
  </r>
  <r>
    <s v="ORD1746"/>
    <x v="2"/>
    <x v="2"/>
    <n v="5"/>
    <n v="433.94"/>
    <n v="2169.6999999999998"/>
    <x v="0"/>
    <d v="2026-02-16T00:00:00"/>
    <x v="2"/>
  </r>
  <r>
    <s v="ORD1747"/>
    <x v="13"/>
    <x v="1"/>
    <n v="3"/>
    <n v="56068.28"/>
    <n v="168204.84"/>
    <x v="7"/>
    <d v="2026-03-13T00:00:00"/>
    <x v="0"/>
  </r>
  <r>
    <s v="ORD1748"/>
    <x v="13"/>
    <x v="1"/>
    <n v="4"/>
    <n v="55323.76"/>
    <n v="221295.04"/>
    <x v="9"/>
    <d v="2026-03-01T00:00:00"/>
    <x v="0"/>
  </r>
  <r>
    <s v="ORD1749"/>
    <x v="11"/>
    <x v="1"/>
    <n v="1"/>
    <n v="2089.06"/>
    <n v="2089.06"/>
    <x v="5"/>
    <d v="2026-03-10T00:00:00"/>
    <x v="0"/>
  </r>
  <r>
    <s v="ORD1750"/>
    <x v="12"/>
    <x v="4"/>
    <n v="1"/>
    <n v="4421.8"/>
    <n v="4421.8"/>
    <x v="5"/>
    <d v="2026-05-28T00:00:00"/>
    <x v="3"/>
  </r>
  <r>
    <s v="ORD1751"/>
    <x v="7"/>
    <x v="4"/>
    <n v="4"/>
    <n v="6311.25"/>
    <n v="25245"/>
    <x v="4"/>
    <d v="2026-02-15T00:00:00"/>
    <x v="2"/>
  </r>
  <r>
    <s v="ORD1752"/>
    <x v="1"/>
    <x v="1"/>
    <n v="5"/>
    <n v="1445.4"/>
    <n v="7227"/>
    <x v="6"/>
    <d v="2026-06-01T00:00:00"/>
    <x v="4"/>
  </r>
  <r>
    <s v="ORD1753"/>
    <x v="13"/>
    <x v="1"/>
    <n v="3"/>
    <n v="59923.15"/>
    <n v="179769.45"/>
    <x v="9"/>
    <d v="2026-02-06T00:00:00"/>
    <x v="2"/>
  </r>
  <r>
    <s v="ORD1754"/>
    <x v="2"/>
    <x v="2"/>
    <n v="2"/>
    <n v="480.3"/>
    <n v="960.6"/>
    <x v="3"/>
    <d v="2026-05-19T00:00:00"/>
    <x v="3"/>
  </r>
  <r>
    <s v="ORD1755"/>
    <x v="4"/>
    <x v="3"/>
    <n v="2"/>
    <n v="797.47"/>
    <n v="1594.94"/>
    <x v="2"/>
    <d v="2026-01-15T00:00:00"/>
    <x v="1"/>
  </r>
  <r>
    <s v="ORD1756"/>
    <x v="1"/>
    <x v="1"/>
    <n v="5"/>
    <n v="1415.64"/>
    <n v="7078.2000000000007"/>
    <x v="1"/>
    <d v="2026-05-03T00:00:00"/>
    <x v="3"/>
  </r>
  <r>
    <s v="ORD1757"/>
    <x v="13"/>
    <x v="1"/>
    <n v="3"/>
    <n v="59596.86"/>
    <n v="178790.58000000002"/>
    <x v="5"/>
    <d v="2026-02-03T00:00:00"/>
    <x v="2"/>
  </r>
  <r>
    <s v="ORD1758"/>
    <x v="9"/>
    <x v="3"/>
    <n v="2"/>
    <n v="2708.31"/>
    <n v="5416.62"/>
    <x v="6"/>
    <d v="2026-01-16T00:00:00"/>
    <x v="1"/>
  </r>
  <r>
    <s v="ORD1759"/>
    <x v="13"/>
    <x v="1"/>
    <n v="2"/>
    <n v="55952.7"/>
    <n v="111905.4"/>
    <x v="4"/>
    <d v="2026-01-29T00:00:00"/>
    <x v="1"/>
  </r>
  <r>
    <s v="ORD1760"/>
    <x v="7"/>
    <x v="4"/>
    <n v="5"/>
    <n v="6968.87"/>
    <n v="34844.35"/>
    <x v="2"/>
    <d v="2026-04-06T00:00:00"/>
    <x v="5"/>
  </r>
  <r>
    <s v="ORD1761"/>
    <x v="3"/>
    <x v="1"/>
    <n v="4"/>
    <n v="28481.69"/>
    <n v="113926.76"/>
    <x v="6"/>
    <d v="2026-03-19T00:00:00"/>
    <x v="0"/>
  </r>
  <r>
    <s v="ORD1762"/>
    <x v="9"/>
    <x v="3"/>
    <n v="2"/>
    <n v="2736.84"/>
    <n v="5473.68"/>
    <x v="8"/>
    <d v="2026-06-13T00:00:00"/>
    <x v="4"/>
  </r>
  <r>
    <s v="ORD1763"/>
    <x v="8"/>
    <x v="4"/>
    <n v="3"/>
    <n v="3271.94"/>
    <n v="9815.82"/>
    <x v="1"/>
    <d v="2026-06-27T00:00:00"/>
    <x v="4"/>
  </r>
  <r>
    <s v="ORD1764"/>
    <x v="2"/>
    <x v="2"/>
    <n v="3"/>
    <n v="425.09"/>
    <n v="1275.27"/>
    <x v="9"/>
    <d v="2026-02-14T00:00:00"/>
    <x v="2"/>
  </r>
  <r>
    <s v="ORD1765"/>
    <x v="5"/>
    <x v="0"/>
    <n v="3"/>
    <n v="5232.95"/>
    <n v="15698.849999999999"/>
    <x v="0"/>
    <d v="2026-02-02T00:00:00"/>
    <x v="2"/>
  </r>
  <r>
    <s v="ORD1766"/>
    <x v="11"/>
    <x v="1"/>
    <n v="1"/>
    <n v="2397.4699999999998"/>
    <n v="2397.4699999999998"/>
    <x v="9"/>
    <d v="2026-04-11T00:00:00"/>
    <x v="5"/>
  </r>
  <r>
    <s v="ORD1767"/>
    <x v="7"/>
    <x v="4"/>
    <n v="5"/>
    <n v="5892.1"/>
    <n v="29460.5"/>
    <x v="9"/>
    <d v="2026-03-23T00:00:00"/>
    <x v="0"/>
  </r>
  <r>
    <s v="ORD1768"/>
    <x v="10"/>
    <x v="3"/>
    <n v="5"/>
    <n v="1887.41"/>
    <n v="9437.0500000000011"/>
    <x v="9"/>
    <d v="2026-01-27T00:00:00"/>
    <x v="1"/>
  </r>
  <r>
    <s v="ORD1769"/>
    <x v="8"/>
    <x v="4"/>
    <n v="2"/>
    <n v="3381.82"/>
    <n v="6763.64"/>
    <x v="2"/>
    <d v="2026-03-02T00:00:00"/>
    <x v="0"/>
  </r>
  <r>
    <s v="ORD1770"/>
    <x v="9"/>
    <x v="3"/>
    <n v="3"/>
    <n v="2333.0100000000002"/>
    <n v="6999.0300000000007"/>
    <x v="2"/>
    <d v="2026-06-21T00:00:00"/>
    <x v="4"/>
  </r>
  <r>
    <s v="ORD1771"/>
    <x v="0"/>
    <x v="0"/>
    <n v="3"/>
    <n v="1780.79"/>
    <n v="5342.37"/>
    <x v="0"/>
    <d v="2026-02-23T00:00:00"/>
    <x v="2"/>
  </r>
  <r>
    <s v="ORD1772"/>
    <x v="1"/>
    <x v="1"/>
    <n v="1"/>
    <n v="1455.14"/>
    <n v="1455.14"/>
    <x v="2"/>
    <d v="2026-01-01T00:00:00"/>
    <x v="1"/>
  </r>
  <r>
    <s v="ORD1773"/>
    <x v="13"/>
    <x v="1"/>
    <n v="4"/>
    <n v="54320.42"/>
    <n v="217281.68"/>
    <x v="8"/>
    <d v="2026-02-12T00:00:00"/>
    <x v="2"/>
  </r>
  <r>
    <s v="ORD1774"/>
    <x v="5"/>
    <x v="0"/>
    <n v="4"/>
    <n v="5380.69"/>
    <n v="21522.76"/>
    <x v="6"/>
    <d v="2026-05-20T00:00:00"/>
    <x v="3"/>
  </r>
  <r>
    <s v="ORD1775"/>
    <x v="5"/>
    <x v="0"/>
    <n v="1"/>
    <n v="5327.74"/>
    <n v="5327.74"/>
    <x v="9"/>
    <d v="2026-06-16T00:00:00"/>
    <x v="4"/>
  </r>
  <r>
    <s v="ORD1776"/>
    <x v="10"/>
    <x v="3"/>
    <n v="2"/>
    <n v="1864.13"/>
    <n v="3728.26"/>
    <x v="2"/>
    <d v="2026-01-09T00:00:00"/>
    <x v="1"/>
  </r>
  <r>
    <s v="ORD1777"/>
    <x v="4"/>
    <x v="3"/>
    <n v="1"/>
    <n v="770.03"/>
    <n v="770.03"/>
    <x v="2"/>
    <d v="2026-01-19T00:00:00"/>
    <x v="1"/>
  </r>
  <r>
    <s v="ORD1778"/>
    <x v="9"/>
    <x v="3"/>
    <n v="2"/>
    <n v="2692.89"/>
    <n v="5385.78"/>
    <x v="4"/>
    <d v="2026-01-20T00:00:00"/>
    <x v="1"/>
  </r>
  <r>
    <s v="ORD1779"/>
    <x v="12"/>
    <x v="4"/>
    <n v="1"/>
    <n v="4063.88"/>
    <n v="4063.88"/>
    <x v="9"/>
    <d v="2026-05-04T00:00:00"/>
    <x v="3"/>
  </r>
  <r>
    <s v="ORD1780"/>
    <x v="3"/>
    <x v="1"/>
    <n v="1"/>
    <n v="27615.41"/>
    <n v="27615.41"/>
    <x v="4"/>
    <d v="2026-06-05T00:00:00"/>
    <x v="4"/>
  </r>
  <r>
    <s v="ORD1781"/>
    <x v="5"/>
    <x v="0"/>
    <n v="2"/>
    <n v="4552.6499999999996"/>
    <n v="9105.2999999999993"/>
    <x v="6"/>
    <d v="2026-02-22T00:00:00"/>
    <x v="2"/>
  </r>
  <r>
    <s v="ORD1782"/>
    <x v="1"/>
    <x v="1"/>
    <n v="4"/>
    <n v="1559.16"/>
    <n v="6236.64"/>
    <x v="1"/>
    <d v="2026-03-09T00:00:00"/>
    <x v="0"/>
  </r>
  <r>
    <s v="ORD1783"/>
    <x v="0"/>
    <x v="0"/>
    <n v="3"/>
    <n v="1727.06"/>
    <n v="5181.18"/>
    <x v="2"/>
    <d v="2026-01-13T00:00:00"/>
    <x v="1"/>
  </r>
  <r>
    <s v="ORD1784"/>
    <x v="5"/>
    <x v="0"/>
    <n v="5"/>
    <n v="5048.6499999999996"/>
    <n v="25243.25"/>
    <x v="3"/>
    <d v="2026-02-09T00:00:00"/>
    <x v="2"/>
  </r>
  <r>
    <s v="ORD1785"/>
    <x v="13"/>
    <x v="1"/>
    <n v="3"/>
    <n v="49541.97"/>
    <n v="148625.91"/>
    <x v="2"/>
    <d v="2026-03-17T00:00:00"/>
    <x v="0"/>
  </r>
  <r>
    <s v="ORD1786"/>
    <x v="7"/>
    <x v="4"/>
    <n v="5"/>
    <n v="6474.43"/>
    <n v="32372.15"/>
    <x v="2"/>
    <d v="2026-01-07T00:00:00"/>
    <x v="1"/>
  </r>
  <r>
    <s v="ORD1787"/>
    <x v="1"/>
    <x v="1"/>
    <n v="2"/>
    <n v="1541.46"/>
    <n v="3082.92"/>
    <x v="2"/>
    <d v="2026-05-02T00:00:00"/>
    <x v="3"/>
  </r>
  <r>
    <s v="ORD1788"/>
    <x v="7"/>
    <x v="4"/>
    <n v="1"/>
    <n v="6250.86"/>
    <n v="6250.86"/>
    <x v="8"/>
    <d v="2026-05-01T00:00:00"/>
    <x v="3"/>
  </r>
  <r>
    <s v="ORD1789"/>
    <x v="8"/>
    <x v="4"/>
    <n v="3"/>
    <n v="3213.8"/>
    <n v="9641.4000000000015"/>
    <x v="1"/>
    <d v="2026-04-10T00:00:00"/>
    <x v="5"/>
  </r>
  <r>
    <s v="ORD1790"/>
    <x v="11"/>
    <x v="1"/>
    <n v="3"/>
    <n v="2369.62"/>
    <n v="7108.86"/>
    <x v="6"/>
    <d v="2026-02-17T00:00:00"/>
    <x v="2"/>
  </r>
  <r>
    <s v="ORD1791"/>
    <x v="8"/>
    <x v="4"/>
    <n v="1"/>
    <n v="3334.31"/>
    <n v="3334.31"/>
    <x v="3"/>
    <d v="2026-03-09T00:00:00"/>
    <x v="0"/>
  </r>
  <r>
    <s v="ORD1792"/>
    <x v="1"/>
    <x v="1"/>
    <n v="3"/>
    <n v="1519.27"/>
    <n v="4557.8099999999995"/>
    <x v="4"/>
    <d v="2026-06-28T00:00:00"/>
    <x v="4"/>
  </r>
  <r>
    <s v="ORD1793"/>
    <x v="0"/>
    <x v="0"/>
    <n v="1"/>
    <n v="1650.85"/>
    <n v="1650.85"/>
    <x v="6"/>
    <d v="2026-05-19T00:00:00"/>
    <x v="3"/>
  </r>
  <r>
    <s v="ORD1794"/>
    <x v="5"/>
    <x v="0"/>
    <n v="5"/>
    <n v="4726.57"/>
    <n v="23632.85"/>
    <x v="7"/>
    <d v="2026-04-10T00:00:00"/>
    <x v="5"/>
  </r>
  <r>
    <s v="ORD1795"/>
    <x v="7"/>
    <x v="4"/>
    <n v="5"/>
    <n v="6394.22"/>
    <n v="31971.100000000002"/>
    <x v="1"/>
    <d v="2026-06-25T00:00:00"/>
    <x v="4"/>
  </r>
  <r>
    <s v="ORD1796"/>
    <x v="7"/>
    <x v="4"/>
    <n v="4"/>
    <n v="6594.53"/>
    <n v="26378.12"/>
    <x v="5"/>
    <d v="2026-05-02T00:00:00"/>
    <x v="3"/>
  </r>
  <r>
    <s v="ORD1797"/>
    <x v="4"/>
    <x v="3"/>
    <n v="1"/>
    <n v="782.19"/>
    <n v="782.19"/>
    <x v="7"/>
    <d v="2026-05-09T00:00:00"/>
    <x v="3"/>
  </r>
  <r>
    <s v="ORD1798"/>
    <x v="2"/>
    <x v="2"/>
    <n v="5"/>
    <n v="477.04"/>
    <n v="2385.2000000000003"/>
    <x v="9"/>
    <d v="2026-02-07T00:00:00"/>
    <x v="2"/>
  </r>
  <r>
    <s v="ORD1799"/>
    <x v="6"/>
    <x v="1"/>
    <n v="4"/>
    <n v="16822.36"/>
    <n v="67289.440000000002"/>
    <x v="4"/>
    <d v="2026-02-24T00:00:00"/>
    <x v="2"/>
  </r>
  <r>
    <s v="ORD1800"/>
    <x v="10"/>
    <x v="3"/>
    <n v="2"/>
    <n v="1849.55"/>
    <n v="3699.1"/>
    <x v="8"/>
    <d v="2026-01-21T00:00:00"/>
    <x v="1"/>
  </r>
  <r>
    <s v="ORD1801"/>
    <x v="0"/>
    <x v="0"/>
    <n v="4"/>
    <n v="1692.69"/>
    <n v="6770.76"/>
    <x v="4"/>
    <d v="2026-06-02T00:00:00"/>
    <x v="4"/>
  </r>
  <r>
    <s v="ORD1802"/>
    <x v="4"/>
    <x v="3"/>
    <n v="3"/>
    <n v="864.65"/>
    <n v="2593.9499999999998"/>
    <x v="2"/>
    <d v="2026-01-23T00:00:00"/>
    <x v="1"/>
  </r>
  <r>
    <s v="ORD1803"/>
    <x v="5"/>
    <x v="0"/>
    <n v="5"/>
    <n v="4896.38"/>
    <n v="24481.9"/>
    <x v="6"/>
    <d v="2026-03-12T00:00:00"/>
    <x v="0"/>
  </r>
  <r>
    <s v="ORD1804"/>
    <x v="12"/>
    <x v="4"/>
    <n v="4"/>
    <n v="4550.42"/>
    <n v="18201.68"/>
    <x v="7"/>
    <d v="2026-06-29T00:00:00"/>
    <x v="4"/>
  </r>
  <r>
    <s v="ORD1805"/>
    <x v="2"/>
    <x v="2"/>
    <n v="5"/>
    <n v="452.03"/>
    <n v="2260.1499999999996"/>
    <x v="8"/>
    <d v="2026-01-29T00:00:00"/>
    <x v="1"/>
  </r>
  <r>
    <s v="ORD1806"/>
    <x v="5"/>
    <x v="0"/>
    <n v="2"/>
    <n v="4647.2700000000004"/>
    <n v="9294.5400000000009"/>
    <x v="9"/>
    <d v="2026-05-30T00:00:00"/>
    <x v="3"/>
  </r>
  <r>
    <s v="ORD1807"/>
    <x v="10"/>
    <x v="3"/>
    <n v="1"/>
    <n v="2168.89"/>
    <n v="2168.89"/>
    <x v="9"/>
    <d v="2026-01-26T00:00:00"/>
    <x v="1"/>
  </r>
  <r>
    <s v="ORD1808"/>
    <x v="10"/>
    <x v="3"/>
    <n v="3"/>
    <n v="2145.92"/>
    <n v="6437.76"/>
    <x v="6"/>
    <d v="2026-04-16T00:00:00"/>
    <x v="5"/>
  </r>
  <r>
    <s v="ORD1809"/>
    <x v="4"/>
    <x v="3"/>
    <n v="4"/>
    <n v="823.74"/>
    <n v="3294.96"/>
    <x v="9"/>
    <d v="2026-06-05T00:00:00"/>
    <x v="4"/>
  </r>
  <r>
    <s v="ORD1810"/>
    <x v="8"/>
    <x v="4"/>
    <n v="1"/>
    <n v="3270.54"/>
    <n v="3270.54"/>
    <x v="8"/>
    <d v="2026-02-06T00:00:00"/>
    <x v="2"/>
  </r>
  <r>
    <s v="ORD1811"/>
    <x v="2"/>
    <x v="2"/>
    <n v="5"/>
    <n v="466.27"/>
    <n v="2331.35"/>
    <x v="8"/>
    <d v="2026-01-10T00:00:00"/>
    <x v="1"/>
  </r>
  <r>
    <s v="ORD1812"/>
    <x v="5"/>
    <x v="0"/>
    <n v="3"/>
    <n v="5189.4799999999996"/>
    <n v="15568.439999999999"/>
    <x v="7"/>
    <d v="2026-05-02T00:00:00"/>
    <x v="3"/>
  </r>
  <r>
    <s v="ORD1813"/>
    <x v="4"/>
    <x v="3"/>
    <n v="3"/>
    <n v="722.33"/>
    <n v="2166.9900000000002"/>
    <x v="0"/>
    <d v="2026-03-21T00:00:00"/>
    <x v="0"/>
  </r>
  <r>
    <s v="ORD1814"/>
    <x v="4"/>
    <x v="3"/>
    <n v="4"/>
    <n v="856.25"/>
    <n v="3425"/>
    <x v="2"/>
    <d v="2026-02-28T00:00:00"/>
    <x v="2"/>
  </r>
  <r>
    <s v="ORD1815"/>
    <x v="11"/>
    <x v="1"/>
    <n v="3"/>
    <n v="2408.66"/>
    <n v="7225.98"/>
    <x v="3"/>
    <d v="2026-03-24T00:00:00"/>
    <x v="0"/>
  </r>
  <r>
    <s v="ORD1816"/>
    <x v="4"/>
    <x v="3"/>
    <n v="4"/>
    <n v="815.78"/>
    <n v="3263.12"/>
    <x v="2"/>
    <d v="2026-02-18T00:00:00"/>
    <x v="2"/>
  </r>
  <r>
    <s v="ORD1817"/>
    <x v="8"/>
    <x v="4"/>
    <n v="2"/>
    <n v="3789.4"/>
    <n v="7578.8"/>
    <x v="8"/>
    <d v="2026-05-05T00:00:00"/>
    <x v="3"/>
  </r>
  <r>
    <s v="ORD1818"/>
    <x v="10"/>
    <x v="3"/>
    <n v="5"/>
    <n v="2145.8000000000002"/>
    <n v="10729"/>
    <x v="7"/>
    <d v="2026-05-12T00:00:00"/>
    <x v="3"/>
  </r>
  <r>
    <s v="ORD1819"/>
    <x v="10"/>
    <x v="3"/>
    <n v="2"/>
    <n v="1825.33"/>
    <n v="3650.66"/>
    <x v="1"/>
    <d v="2026-04-14T00:00:00"/>
    <x v="5"/>
  </r>
  <r>
    <s v="ORD1820"/>
    <x v="11"/>
    <x v="1"/>
    <n v="5"/>
    <n v="2366.91"/>
    <n v="11834.55"/>
    <x v="7"/>
    <d v="2026-02-14T00:00:00"/>
    <x v="2"/>
  </r>
  <r>
    <s v="ORD1821"/>
    <x v="1"/>
    <x v="1"/>
    <n v="2"/>
    <n v="1601.09"/>
    <n v="3202.18"/>
    <x v="5"/>
    <d v="2026-01-09T00:00:00"/>
    <x v="1"/>
  </r>
  <r>
    <s v="ORD1822"/>
    <x v="8"/>
    <x v="4"/>
    <n v="1"/>
    <n v="3792.62"/>
    <n v="3792.62"/>
    <x v="5"/>
    <d v="2026-03-12T00:00:00"/>
    <x v="0"/>
  </r>
  <r>
    <s v="ORD1823"/>
    <x v="9"/>
    <x v="3"/>
    <n v="4"/>
    <n v="2501.56"/>
    <n v="10006.24"/>
    <x v="2"/>
    <d v="2026-06-24T00:00:00"/>
    <x v="4"/>
  </r>
  <r>
    <s v="ORD1824"/>
    <x v="13"/>
    <x v="1"/>
    <n v="2"/>
    <n v="53597.13"/>
    <n v="107194.26"/>
    <x v="9"/>
    <d v="2026-04-25T00:00:00"/>
    <x v="5"/>
  </r>
  <r>
    <s v="ORD1825"/>
    <x v="11"/>
    <x v="1"/>
    <n v="4"/>
    <n v="2238.23"/>
    <n v="8952.92"/>
    <x v="6"/>
    <d v="2026-03-30T00:00:00"/>
    <x v="0"/>
  </r>
  <r>
    <s v="ORD1826"/>
    <x v="11"/>
    <x v="1"/>
    <n v="3"/>
    <n v="2309.54"/>
    <n v="6928.62"/>
    <x v="2"/>
    <d v="2026-03-14T00:00:00"/>
    <x v="0"/>
  </r>
  <r>
    <s v="ORD1827"/>
    <x v="13"/>
    <x v="1"/>
    <n v="4"/>
    <n v="50046.16"/>
    <n v="200184.64"/>
    <x v="9"/>
    <d v="2026-02-24T00:00:00"/>
    <x v="2"/>
  </r>
  <r>
    <s v="ORD1828"/>
    <x v="7"/>
    <x v="4"/>
    <n v="2"/>
    <n v="6691.59"/>
    <n v="13383.18"/>
    <x v="5"/>
    <d v="2026-03-10T00:00:00"/>
    <x v="0"/>
  </r>
  <r>
    <s v="ORD1829"/>
    <x v="0"/>
    <x v="0"/>
    <n v="4"/>
    <n v="1804.78"/>
    <n v="7219.12"/>
    <x v="7"/>
    <d v="2026-05-02T00:00:00"/>
    <x v="3"/>
  </r>
  <r>
    <s v="ORD1830"/>
    <x v="11"/>
    <x v="1"/>
    <n v="2"/>
    <n v="2244.5"/>
    <n v="4489"/>
    <x v="7"/>
    <d v="2026-02-27T00:00:00"/>
    <x v="2"/>
  </r>
  <r>
    <s v="ORD1831"/>
    <x v="4"/>
    <x v="3"/>
    <n v="5"/>
    <n v="847.75"/>
    <n v="4238.75"/>
    <x v="0"/>
    <d v="2026-06-14T00:00:00"/>
    <x v="4"/>
  </r>
  <r>
    <s v="ORD1832"/>
    <x v="4"/>
    <x v="3"/>
    <n v="4"/>
    <n v="862.2"/>
    <n v="3448.8"/>
    <x v="6"/>
    <d v="2026-04-28T00:00:00"/>
    <x v="5"/>
  </r>
  <r>
    <s v="ORD1833"/>
    <x v="4"/>
    <x v="3"/>
    <n v="2"/>
    <n v="793.68"/>
    <n v="1587.36"/>
    <x v="1"/>
    <d v="2026-06-09T00:00:00"/>
    <x v="4"/>
  </r>
  <r>
    <s v="ORD1834"/>
    <x v="5"/>
    <x v="0"/>
    <n v="5"/>
    <n v="4601.3900000000003"/>
    <n v="23006.95"/>
    <x v="1"/>
    <d v="2026-06-19T00:00:00"/>
    <x v="4"/>
  </r>
  <r>
    <s v="ORD1835"/>
    <x v="7"/>
    <x v="4"/>
    <n v="3"/>
    <n v="6579.89"/>
    <n v="19739.670000000002"/>
    <x v="9"/>
    <d v="2026-06-05T00:00:00"/>
    <x v="4"/>
  </r>
  <r>
    <s v="ORD1836"/>
    <x v="4"/>
    <x v="3"/>
    <n v="3"/>
    <n v="828.47"/>
    <n v="2485.41"/>
    <x v="3"/>
    <d v="2026-01-17T00:00:00"/>
    <x v="1"/>
  </r>
  <r>
    <s v="ORD1837"/>
    <x v="9"/>
    <x v="3"/>
    <n v="3"/>
    <n v="2569.27"/>
    <n v="7707.8099999999995"/>
    <x v="0"/>
    <d v="2026-03-08T00:00:00"/>
    <x v="0"/>
  </r>
  <r>
    <s v="ORD1838"/>
    <x v="0"/>
    <x v="0"/>
    <n v="3"/>
    <n v="1687.81"/>
    <n v="5063.43"/>
    <x v="1"/>
    <d v="2026-03-03T00:00:00"/>
    <x v="0"/>
  </r>
  <r>
    <s v="ORD1839"/>
    <x v="13"/>
    <x v="1"/>
    <n v="5"/>
    <n v="53945.08"/>
    <n v="269725.40000000002"/>
    <x v="6"/>
    <d v="2026-06-24T00:00:00"/>
    <x v="4"/>
  </r>
  <r>
    <s v="ORD1840"/>
    <x v="11"/>
    <x v="1"/>
    <n v="1"/>
    <n v="2268.38"/>
    <n v="2268.38"/>
    <x v="0"/>
    <d v="2026-03-08T00:00:00"/>
    <x v="0"/>
  </r>
  <r>
    <s v="ORD1841"/>
    <x v="5"/>
    <x v="0"/>
    <n v="4"/>
    <n v="4887.3"/>
    <n v="19549.2"/>
    <x v="7"/>
    <d v="2026-05-30T00:00:00"/>
    <x v="3"/>
  </r>
  <r>
    <s v="ORD1842"/>
    <x v="3"/>
    <x v="1"/>
    <n v="5"/>
    <n v="29769.68"/>
    <n v="148848.4"/>
    <x v="6"/>
    <d v="2026-02-26T00:00:00"/>
    <x v="2"/>
  </r>
  <r>
    <s v="ORD1843"/>
    <x v="0"/>
    <x v="0"/>
    <n v="5"/>
    <n v="1849.79"/>
    <n v="9248.9500000000007"/>
    <x v="3"/>
    <d v="2026-06-21T00:00:00"/>
    <x v="4"/>
  </r>
  <r>
    <s v="ORD1844"/>
    <x v="9"/>
    <x v="3"/>
    <n v="5"/>
    <n v="2399.14"/>
    <n v="11995.699999999999"/>
    <x v="4"/>
    <d v="2026-06-18T00:00:00"/>
    <x v="4"/>
  </r>
  <r>
    <s v="ORD1845"/>
    <x v="12"/>
    <x v="4"/>
    <n v="2"/>
    <n v="4026.78"/>
    <n v="8053.56"/>
    <x v="3"/>
    <d v="2026-02-02T00:00:00"/>
    <x v="2"/>
  </r>
  <r>
    <s v="ORD1846"/>
    <x v="3"/>
    <x v="1"/>
    <n v="3"/>
    <n v="29261.05"/>
    <n v="87783.15"/>
    <x v="1"/>
    <d v="2026-02-16T00:00:00"/>
    <x v="2"/>
  </r>
  <r>
    <s v="ORD1847"/>
    <x v="0"/>
    <x v="0"/>
    <n v="3"/>
    <n v="1855.6"/>
    <n v="5566.7999999999993"/>
    <x v="5"/>
    <d v="2026-04-01T00:00:00"/>
    <x v="5"/>
  </r>
  <r>
    <s v="ORD1848"/>
    <x v="1"/>
    <x v="1"/>
    <n v="3"/>
    <n v="1476.14"/>
    <n v="4428.42"/>
    <x v="6"/>
    <d v="2026-04-06T00:00:00"/>
    <x v="5"/>
  </r>
  <r>
    <s v="ORD1849"/>
    <x v="4"/>
    <x v="3"/>
    <n v="5"/>
    <n v="766.09"/>
    <n v="3830.4500000000003"/>
    <x v="2"/>
    <d v="2026-05-01T00:00:00"/>
    <x v="3"/>
  </r>
  <r>
    <s v="ORD1850"/>
    <x v="13"/>
    <x v="1"/>
    <n v="5"/>
    <n v="55883.44"/>
    <n v="279417.2"/>
    <x v="9"/>
    <d v="2026-01-19T00:00:00"/>
    <x v="1"/>
  </r>
  <r>
    <s v="ORD1851"/>
    <x v="8"/>
    <x v="4"/>
    <n v="2"/>
    <n v="3500.33"/>
    <n v="7000.66"/>
    <x v="8"/>
    <d v="2026-05-16T00:00:00"/>
    <x v="3"/>
  </r>
  <r>
    <s v="ORD1852"/>
    <x v="4"/>
    <x v="3"/>
    <n v="4"/>
    <n v="727.74"/>
    <n v="2910.96"/>
    <x v="4"/>
    <d v="2026-02-05T00:00:00"/>
    <x v="2"/>
  </r>
  <r>
    <s v="ORD1853"/>
    <x v="1"/>
    <x v="1"/>
    <n v="3"/>
    <n v="1472.76"/>
    <n v="4418.28"/>
    <x v="9"/>
    <d v="2026-04-28T00:00:00"/>
    <x v="5"/>
  </r>
  <r>
    <s v="ORD1854"/>
    <x v="11"/>
    <x v="1"/>
    <n v="3"/>
    <n v="2359.4499999999998"/>
    <n v="7078.3499999999995"/>
    <x v="4"/>
    <d v="2026-01-21T00:00:00"/>
    <x v="1"/>
  </r>
  <r>
    <s v="ORD1855"/>
    <x v="8"/>
    <x v="4"/>
    <n v="3"/>
    <n v="3591.72"/>
    <n v="10775.16"/>
    <x v="4"/>
    <d v="2026-03-22T00:00:00"/>
    <x v="0"/>
  </r>
  <r>
    <s v="ORD1856"/>
    <x v="0"/>
    <x v="0"/>
    <n v="1"/>
    <n v="1621.7"/>
    <n v="1621.7"/>
    <x v="0"/>
    <d v="2026-02-23T00:00:00"/>
    <x v="2"/>
  </r>
  <r>
    <s v="ORD1857"/>
    <x v="10"/>
    <x v="3"/>
    <n v="2"/>
    <n v="2029.5"/>
    <n v="4059"/>
    <x v="4"/>
    <d v="2026-05-06T00:00:00"/>
    <x v="3"/>
  </r>
  <r>
    <s v="ORD1858"/>
    <x v="10"/>
    <x v="3"/>
    <n v="1"/>
    <n v="1850.84"/>
    <n v="1850.84"/>
    <x v="8"/>
    <d v="2026-06-12T00:00:00"/>
    <x v="4"/>
  </r>
  <r>
    <s v="ORD1859"/>
    <x v="5"/>
    <x v="0"/>
    <n v="4"/>
    <n v="4928.04"/>
    <n v="19712.16"/>
    <x v="3"/>
    <d v="2026-04-09T00:00:00"/>
    <x v="5"/>
  </r>
  <r>
    <s v="ORD1860"/>
    <x v="13"/>
    <x v="1"/>
    <n v="1"/>
    <n v="55371.61"/>
    <n v="55371.61"/>
    <x v="6"/>
    <d v="2026-01-04T00:00:00"/>
    <x v="1"/>
  </r>
  <r>
    <s v="ORD1861"/>
    <x v="9"/>
    <x v="3"/>
    <n v="5"/>
    <n v="2344.35"/>
    <n v="11721.75"/>
    <x v="7"/>
    <d v="2026-06-10T00:00:00"/>
    <x v="4"/>
  </r>
  <r>
    <s v="ORD1862"/>
    <x v="3"/>
    <x v="1"/>
    <n v="2"/>
    <n v="26467.09"/>
    <n v="52934.18"/>
    <x v="6"/>
    <d v="2026-03-21T00:00:00"/>
    <x v="0"/>
  </r>
  <r>
    <s v="ORD1863"/>
    <x v="11"/>
    <x v="1"/>
    <n v="1"/>
    <n v="2148.7600000000002"/>
    <n v="2148.7600000000002"/>
    <x v="9"/>
    <d v="2026-03-20T00:00:00"/>
    <x v="0"/>
  </r>
  <r>
    <s v="ORD1864"/>
    <x v="11"/>
    <x v="1"/>
    <n v="1"/>
    <n v="2342.4899999999998"/>
    <n v="2342.4899999999998"/>
    <x v="0"/>
    <d v="2026-03-16T00:00:00"/>
    <x v="0"/>
  </r>
  <r>
    <s v="ORD1865"/>
    <x v="8"/>
    <x v="4"/>
    <n v="5"/>
    <n v="3567.46"/>
    <n v="17837.3"/>
    <x v="6"/>
    <d v="2026-04-22T00:00:00"/>
    <x v="5"/>
  </r>
  <r>
    <s v="ORD1866"/>
    <x v="0"/>
    <x v="0"/>
    <n v="2"/>
    <n v="1743.38"/>
    <n v="3486.76"/>
    <x v="3"/>
    <d v="2026-04-02T00:00:00"/>
    <x v="5"/>
  </r>
  <r>
    <s v="ORD1867"/>
    <x v="10"/>
    <x v="3"/>
    <n v="2"/>
    <n v="1865.02"/>
    <n v="3730.04"/>
    <x v="8"/>
    <d v="2026-01-05T00:00:00"/>
    <x v="1"/>
  </r>
  <r>
    <s v="ORD1868"/>
    <x v="1"/>
    <x v="1"/>
    <n v="2"/>
    <n v="1568.15"/>
    <n v="3136.3"/>
    <x v="4"/>
    <d v="2026-02-24T00:00:00"/>
    <x v="2"/>
  </r>
  <r>
    <s v="ORD1869"/>
    <x v="3"/>
    <x v="1"/>
    <n v="1"/>
    <n v="28502.28"/>
    <n v="28502.28"/>
    <x v="4"/>
    <d v="2026-02-01T00:00:00"/>
    <x v="2"/>
  </r>
  <r>
    <s v="ORD1870"/>
    <x v="9"/>
    <x v="3"/>
    <n v="1"/>
    <n v="2436.62"/>
    <n v="2436.62"/>
    <x v="0"/>
    <d v="2026-05-17T00:00:00"/>
    <x v="3"/>
  </r>
  <r>
    <s v="ORD1871"/>
    <x v="2"/>
    <x v="2"/>
    <n v="1"/>
    <n v="458.45"/>
    <n v="458.45"/>
    <x v="7"/>
    <d v="2026-06-19T00:00:00"/>
    <x v="4"/>
  </r>
  <r>
    <s v="ORD1872"/>
    <x v="6"/>
    <x v="1"/>
    <n v="1"/>
    <n v="16373.65"/>
    <n v="16373.65"/>
    <x v="2"/>
    <d v="2026-04-17T00:00:00"/>
    <x v="5"/>
  </r>
  <r>
    <s v="ORD1873"/>
    <x v="8"/>
    <x v="4"/>
    <n v="4"/>
    <n v="3236.52"/>
    <n v="12946.08"/>
    <x v="0"/>
    <d v="2026-05-02T00:00:00"/>
    <x v="3"/>
  </r>
  <r>
    <s v="ORD1874"/>
    <x v="3"/>
    <x v="1"/>
    <n v="2"/>
    <n v="26350.77"/>
    <n v="52701.54"/>
    <x v="7"/>
    <d v="2026-03-19T00:00:00"/>
    <x v="0"/>
  </r>
  <r>
    <s v="ORD1875"/>
    <x v="5"/>
    <x v="0"/>
    <n v="1"/>
    <n v="5161.45"/>
    <n v="5161.45"/>
    <x v="0"/>
    <d v="2026-06-09T00:00:00"/>
    <x v="4"/>
  </r>
  <r>
    <s v="ORD1876"/>
    <x v="2"/>
    <x v="2"/>
    <n v="2"/>
    <n v="442.69"/>
    <n v="885.38"/>
    <x v="2"/>
    <d v="2026-05-11T00:00:00"/>
    <x v="3"/>
  </r>
  <r>
    <s v="ORD1877"/>
    <x v="3"/>
    <x v="1"/>
    <n v="5"/>
    <n v="25859.31"/>
    <n v="129296.55"/>
    <x v="2"/>
    <d v="2026-01-28T00:00:00"/>
    <x v="1"/>
  </r>
  <r>
    <s v="ORD1878"/>
    <x v="8"/>
    <x v="4"/>
    <n v="2"/>
    <n v="3576.3"/>
    <n v="7152.6"/>
    <x v="0"/>
    <d v="2026-05-14T00:00:00"/>
    <x v="3"/>
  </r>
  <r>
    <s v="ORD1879"/>
    <x v="1"/>
    <x v="1"/>
    <n v="3"/>
    <n v="1561.03"/>
    <n v="4683.09"/>
    <x v="0"/>
    <d v="2026-02-11T00:00:00"/>
    <x v="2"/>
  </r>
  <r>
    <s v="ORD1880"/>
    <x v="13"/>
    <x v="1"/>
    <n v="5"/>
    <n v="54959.9"/>
    <n v="274799.5"/>
    <x v="5"/>
    <d v="2026-06-26T00:00:00"/>
    <x v="4"/>
  </r>
  <r>
    <s v="ORD1881"/>
    <x v="8"/>
    <x v="4"/>
    <n v="3"/>
    <n v="3314.15"/>
    <n v="9942.4500000000007"/>
    <x v="7"/>
    <d v="2026-06-21T00:00:00"/>
    <x v="4"/>
  </r>
  <r>
    <s v="ORD1882"/>
    <x v="6"/>
    <x v="1"/>
    <n v="1"/>
    <n v="19206.84"/>
    <n v="19206.84"/>
    <x v="3"/>
    <d v="2026-02-08T00:00:00"/>
    <x v="2"/>
  </r>
  <r>
    <s v="ORD1883"/>
    <x v="6"/>
    <x v="1"/>
    <n v="5"/>
    <n v="16470.169999999998"/>
    <n v="82350.849999999991"/>
    <x v="2"/>
    <d v="2026-03-07T00:00:00"/>
    <x v="0"/>
  </r>
  <r>
    <s v="ORD1884"/>
    <x v="0"/>
    <x v="0"/>
    <n v="2"/>
    <n v="1784.43"/>
    <n v="3568.86"/>
    <x v="0"/>
    <d v="2026-03-09T00:00:00"/>
    <x v="0"/>
  </r>
  <r>
    <s v="ORD1885"/>
    <x v="8"/>
    <x v="4"/>
    <n v="1"/>
    <n v="3219.87"/>
    <n v="3219.87"/>
    <x v="4"/>
    <d v="2026-01-11T00:00:00"/>
    <x v="1"/>
  </r>
  <r>
    <s v="ORD1886"/>
    <x v="7"/>
    <x v="4"/>
    <n v="3"/>
    <n v="6318.28"/>
    <n v="18954.84"/>
    <x v="6"/>
    <d v="2026-04-20T00:00:00"/>
    <x v="5"/>
  </r>
  <r>
    <s v="ORD1887"/>
    <x v="3"/>
    <x v="1"/>
    <n v="1"/>
    <n v="25731.99"/>
    <n v="25731.99"/>
    <x v="7"/>
    <d v="2026-01-03T00:00:00"/>
    <x v="1"/>
  </r>
  <r>
    <s v="ORD1888"/>
    <x v="7"/>
    <x v="4"/>
    <n v="2"/>
    <n v="6712.36"/>
    <n v="13424.72"/>
    <x v="4"/>
    <d v="2026-03-26T00:00:00"/>
    <x v="0"/>
  </r>
  <r>
    <s v="ORD1889"/>
    <x v="9"/>
    <x v="3"/>
    <n v="4"/>
    <n v="2726.45"/>
    <n v="10905.8"/>
    <x v="0"/>
    <d v="2026-01-24T00:00:00"/>
    <x v="1"/>
  </r>
  <r>
    <s v="ORD1890"/>
    <x v="9"/>
    <x v="3"/>
    <n v="3"/>
    <n v="2340.5"/>
    <n v="7021.5"/>
    <x v="8"/>
    <d v="2026-04-13T00:00:00"/>
    <x v="5"/>
  </r>
  <r>
    <s v="ORD1891"/>
    <x v="8"/>
    <x v="4"/>
    <n v="3"/>
    <n v="3735"/>
    <n v="11205"/>
    <x v="3"/>
    <d v="2026-04-18T00:00:00"/>
    <x v="5"/>
  </r>
  <r>
    <s v="ORD1892"/>
    <x v="0"/>
    <x v="0"/>
    <n v="2"/>
    <n v="1660.7"/>
    <n v="3321.4"/>
    <x v="7"/>
    <d v="2026-02-10T00:00:00"/>
    <x v="2"/>
  </r>
  <r>
    <s v="ORD1893"/>
    <x v="6"/>
    <x v="1"/>
    <n v="4"/>
    <n v="19480.419999999998"/>
    <n v="77921.679999999993"/>
    <x v="3"/>
    <d v="2026-05-26T00:00:00"/>
    <x v="3"/>
  </r>
  <r>
    <s v="ORD1894"/>
    <x v="0"/>
    <x v="0"/>
    <n v="4"/>
    <n v="1685.25"/>
    <n v="6741"/>
    <x v="8"/>
    <d v="2026-04-02T00:00:00"/>
    <x v="5"/>
  </r>
  <r>
    <s v="ORD1895"/>
    <x v="2"/>
    <x v="2"/>
    <n v="1"/>
    <n v="482.63"/>
    <n v="482.63"/>
    <x v="4"/>
    <d v="2026-05-04T00:00:00"/>
    <x v="3"/>
  </r>
  <r>
    <s v="ORD1896"/>
    <x v="8"/>
    <x v="4"/>
    <n v="1"/>
    <n v="3771.32"/>
    <n v="3771.32"/>
    <x v="3"/>
    <d v="2026-01-12T00:00:00"/>
    <x v="1"/>
  </r>
  <r>
    <s v="ORD1897"/>
    <x v="6"/>
    <x v="1"/>
    <n v="3"/>
    <n v="18557.900000000001"/>
    <n v="55673.700000000004"/>
    <x v="7"/>
    <d v="2026-06-23T00:00:00"/>
    <x v="4"/>
  </r>
  <r>
    <s v="ORD1898"/>
    <x v="12"/>
    <x v="4"/>
    <n v="5"/>
    <n v="4387.97"/>
    <n v="21939.850000000002"/>
    <x v="5"/>
    <d v="2026-06-21T00:00:00"/>
    <x v="4"/>
  </r>
  <r>
    <s v="ORD1899"/>
    <x v="7"/>
    <x v="4"/>
    <n v="3"/>
    <n v="6524.83"/>
    <n v="19574.489999999998"/>
    <x v="9"/>
    <d v="2026-01-25T00:00:00"/>
    <x v="1"/>
  </r>
  <r>
    <s v="ORD1900"/>
    <x v="5"/>
    <x v="0"/>
    <n v="2"/>
    <n v="4980.93"/>
    <n v="9961.86"/>
    <x v="8"/>
    <d v="2026-02-08T00:00:00"/>
    <x v="2"/>
  </r>
  <r>
    <s v="ORD1901"/>
    <x v="7"/>
    <x v="4"/>
    <n v="5"/>
    <n v="7009.68"/>
    <n v="35048.400000000001"/>
    <x v="9"/>
    <d v="2026-01-14T00:00:00"/>
    <x v="1"/>
  </r>
  <r>
    <s v="ORD1902"/>
    <x v="13"/>
    <x v="1"/>
    <n v="2"/>
    <n v="55061.24"/>
    <n v="110122.48"/>
    <x v="3"/>
    <d v="2026-05-07T00:00:00"/>
    <x v="3"/>
  </r>
  <r>
    <s v="ORD1903"/>
    <x v="7"/>
    <x v="4"/>
    <n v="2"/>
    <n v="5947.32"/>
    <n v="11894.64"/>
    <x v="3"/>
    <d v="2026-03-24T00:00:00"/>
    <x v="0"/>
  </r>
  <r>
    <s v="ORD1904"/>
    <x v="1"/>
    <x v="1"/>
    <n v="3"/>
    <n v="1641.04"/>
    <n v="4923.12"/>
    <x v="7"/>
    <d v="2026-05-10T00:00:00"/>
    <x v="3"/>
  </r>
  <r>
    <s v="ORD1905"/>
    <x v="1"/>
    <x v="1"/>
    <n v="5"/>
    <n v="1543"/>
    <n v="7715"/>
    <x v="8"/>
    <d v="2026-03-02T00:00:00"/>
    <x v="0"/>
  </r>
  <r>
    <s v="ORD1906"/>
    <x v="6"/>
    <x v="1"/>
    <n v="4"/>
    <n v="17799.080000000002"/>
    <n v="71196.320000000007"/>
    <x v="9"/>
    <d v="2026-04-25T00:00:00"/>
    <x v="5"/>
  </r>
  <r>
    <s v="ORD1907"/>
    <x v="6"/>
    <x v="1"/>
    <n v="4"/>
    <n v="17809.45"/>
    <n v="71237.8"/>
    <x v="2"/>
    <d v="2026-05-08T00:00:00"/>
    <x v="3"/>
  </r>
  <r>
    <s v="ORD1908"/>
    <x v="3"/>
    <x v="1"/>
    <n v="1"/>
    <n v="25774.799999999999"/>
    <n v="25774.799999999999"/>
    <x v="8"/>
    <d v="2026-01-10T00:00:00"/>
    <x v="1"/>
  </r>
  <r>
    <s v="ORD1909"/>
    <x v="12"/>
    <x v="4"/>
    <n v="5"/>
    <n v="3780.14"/>
    <n v="18900.7"/>
    <x v="2"/>
    <d v="2026-06-04T00:00:00"/>
    <x v="4"/>
  </r>
  <r>
    <s v="ORD1910"/>
    <x v="2"/>
    <x v="2"/>
    <n v="3"/>
    <n v="485.11"/>
    <n v="1455.33"/>
    <x v="1"/>
    <d v="2026-02-22T00:00:00"/>
    <x v="2"/>
  </r>
  <r>
    <s v="ORD1911"/>
    <x v="0"/>
    <x v="0"/>
    <n v="4"/>
    <n v="1962.13"/>
    <n v="7848.52"/>
    <x v="6"/>
    <d v="2026-01-14T00:00:00"/>
    <x v="1"/>
  </r>
  <r>
    <s v="ORD1912"/>
    <x v="7"/>
    <x v="4"/>
    <n v="2"/>
    <n v="6947.61"/>
    <n v="13895.22"/>
    <x v="6"/>
    <d v="2026-05-24T00:00:00"/>
    <x v="3"/>
  </r>
  <r>
    <s v="ORD1913"/>
    <x v="10"/>
    <x v="3"/>
    <n v="5"/>
    <n v="2038.96"/>
    <n v="10194.799999999999"/>
    <x v="6"/>
    <d v="2026-04-26T00:00:00"/>
    <x v="5"/>
  </r>
  <r>
    <s v="ORD1914"/>
    <x v="6"/>
    <x v="1"/>
    <n v="1"/>
    <n v="18933.55"/>
    <n v="18933.55"/>
    <x v="5"/>
    <d v="2026-01-01T00:00:00"/>
    <x v="1"/>
  </r>
  <r>
    <s v="ORD1915"/>
    <x v="9"/>
    <x v="3"/>
    <n v="3"/>
    <n v="2663.88"/>
    <n v="7991.64"/>
    <x v="0"/>
    <d v="2026-05-21T00:00:00"/>
    <x v="3"/>
  </r>
  <r>
    <s v="ORD1916"/>
    <x v="12"/>
    <x v="4"/>
    <n v="3"/>
    <n v="4369.76"/>
    <n v="13109.28"/>
    <x v="7"/>
    <d v="2026-02-12T00:00:00"/>
    <x v="2"/>
  </r>
  <r>
    <s v="ORD1917"/>
    <x v="8"/>
    <x v="4"/>
    <n v="2"/>
    <n v="3725.29"/>
    <n v="7450.58"/>
    <x v="8"/>
    <d v="2026-01-28T00:00:00"/>
    <x v="1"/>
  </r>
  <r>
    <s v="ORD1918"/>
    <x v="4"/>
    <x v="3"/>
    <n v="5"/>
    <n v="750.41"/>
    <n v="3752.0499999999997"/>
    <x v="2"/>
    <d v="2026-04-11T00:00:00"/>
    <x v="5"/>
  </r>
  <r>
    <s v="ORD1919"/>
    <x v="1"/>
    <x v="1"/>
    <n v="4"/>
    <n v="1597.37"/>
    <n v="6389.48"/>
    <x v="5"/>
    <d v="2026-03-28T00:00:00"/>
    <x v="0"/>
  </r>
  <r>
    <s v="ORD1920"/>
    <x v="6"/>
    <x v="1"/>
    <n v="4"/>
    <n v="16367.4"/>
    <n v="65469.599999999999"/>
    <x v="9"/>
    <d v="2026-02-01T00:00:00"/>
    <x v="2"/>
  </r>
  <r>
    <s v="ORD1921"/>
    <x v="10"/>
    <x v="3"/>
    <n v="4"/>
    <n v="1981.96"/>
    <n v="7927.84"/>
    <x v="9"/>
    <d v="2026-05-10T00:00:00"/>
    <x v="3"/>
  </r>
  <r>
    <s v="ORD1922"/>
    <x v="11"/>
    <x v="1"/>
    <n v="4"/>
    <n v="1981.91"/>
    <n v="7927.64"/>
    <x v="7"/>
    <d v="2026-05-22T00:00:00"/>
    <x v="3"/>
  </r>
  <r>
    <s v="ORD1923"/>
    <x v="5"/>
    <x v="0"/>
    <n v="5"/>
    <n v="4981.9399999999996"/>
    <n v="24909.699999999997"/>
    <x v="1"/>
    <d v="2026-02-15T00:00:00"/>
    <x v="2"/>
  </r>
  <r>
    <s v="ORD1924"/>
    <x v="3"/>
    <x v="1"/>
    <n v="5"/>
    <n v="26172.44"/>
    <n v="130862.2"/>
    <x v="4"/>
    <d v="2026-01-27T00:00:00"/>
    <x v="1"/>
  </r>
  <r>
    <s v="ORD1925"/>
    <x v="5"/>
    <x v="0"/>
    <n v="5"/>
    <n v="5105.1400000000003"/>
    <n v="25525.7"/>
    <x v="6"/>
    <d v="2026-05-10T00:00:00"/>
    <x v="3"/>
  </r>
  <r>
    <s v="ORD1926"/>
    <x v="5"/>
    <x v="0"/>
    <n v="4"/>
    <n v="5478.4"/>
    <n v="21913.599999999999"/>
    <x v="5"/>
    <d v="2026-03-12T00:00:00"/>
    <x v="0"/>
  </r>
  <r>
    <s v="ORD1927"/>
    <x v="5"/>
    <x v="0"/>
    <n v="3"/>
    <n v="5469.4"/>
    <n v="16408.199999999997"/>
    <x v="3"/>
    <d v="2026-02-04T00:00:00"/>
    <x v="2"/>
  </r>
  <r>
    <s v="ORD1928"/>
    <x v="11"/>
    <x v="1"/>
    <n v="4"/>
    <n v="2245.11"/>
    <n v="8980.44"/>
    <x v="1"/>
    <d v="2026-03-18T00:00:00"/>
    <x v="0"/>
  </r>
  <r>
    <s v="ORD1929"/>
    <x v="7"/>
    <x v="4"/>
    <n v="5"/>
    <n v="6968.92"/>
    <n v="34844.6"/>
    <x v="1"/>
    <d v="2026-06-11T00:00:00"/>
    <x v="4"/>
  </r>
  <r>
    <s v="ORD1930"/>
    <x v="1"/>
    <x v="1"/>
    <n v="2"/>
    <n v="1412.91"/>
    <n v="2825.82"/>
    <x v="0"/>
    <d v="2026-06-25T00:00:00"/>
    <x v="4"/>
  </r>
  <r>
    <s v="ORD1931"/>
    <x v="9"/>
    <x v="3"/>
    <n v="2"/>
    <n v="2739.57"/>
    <n v="5479.14"/>
    <x v="4"/>
    <d v="2026-05-09T00:00:00"/>
    <x v="3"/>
  </r>
  <r>
    <s v="ORD1932"/>
    <x v="12"/>
    <x v="4"/>
    <n v="3"/>
    <n v="4376.7"/>
    <n v="13130.099999999999"/>
    <x v="6"/>
    <d v="2026-05-24T00:00:00"/>
    <x v="3"/>
  </r>
  <r>
    <s v="ORD1933"/>
    <x v="8"/>
    <x v="4"/>
    <n v="5"/>
    <n v="3549.45"/>
    <n v="17747.25"/>
    <x v="8"/>
    <d v="2026-06-22T00:00:00"/>
    <x v="4"/>
  </r>
  <r>
    <s v="ORD1934"/>
    <x v="3"/>
    <x v="1"/>
    <n v="5"/>
    <n v="26801.200000000001"/>
    <n v="134006"/>
    <x v="8"/>
    <d v="2026-01-04T00:00:00"/>
    <x v="1"/>
  </r>
  <r>
    <s v="ORD1935"/>
    <x v="12"/>
    <x v="4"/>
    <n v="1"/>
    <n v="3801.23"/>
    <n v="3801.23"/>
    <x v="4"/>
    <d v="2026-01-14T00:00:00"/>
    <x v="1"/>
  </r>
  <r>
    <s v="ORD1936"/>
    <x v="0"/>
    <x v="0"/>
    <n v="1"/>
    <n v="1691.96"/>
    <n v="1691.96"/>
    <x v="4"/>
    <d v="2026-03-15T00:00:00"/>
    <x v="0"/>
  </r>
  <r>
    <s v="ORD1937"/>
    <x v="0"/>
    <x v="0"/>
    <n v="3"/>
    <n v="1672.71"/>
    <n v="5018.13"/>
    <x v="7"/>
    <d v="2026-06-26T00:00:00"/>
    <x v="4"/>
  </r>
  <r>
    <s v="ORD1938"/>
    <x v="10"/>
    <x v="3"/>
    <n v="3"/>
    <n v="1880.66"/>
    <n v="5641.9800000000005"/>
    <x v="1"/>
    <d v="2026-01-09T00:00:00"/>
    <x v="1"/>
  </r>
  <r>
    <s v="ORD1939"/>
    <x v="9"/>
    <x v="3"/>
    <n v="4"/>
    <n v="2300.3200000000002"/>
    <n v="9201.2800000000007"/>
    <x v="1"/>
    <d v="2026-02-27T00:00:00"/>
    <x v="2"/>
  </r>
  <r>
    <s v="ORD1940"/>
    <x v="3"/>
    <x v="1"/>
    <n v="5"/>
    <n v="27377.77"/>
    <n v="136888.85"/>
    <x v="1"/>
    <d v="2026-06-28T00:00:00"/>
    <x v="4"/>
  </r>
  <r>
    <s v="ORD1941"/>
    <x v="4"/>
    <x v="3"/>
    <n v="1"/>
    <n v="867.15"/>
    <n v="867.15"/>
    <x v="8"/>
    <d v="2026-04-17T00:00:00"/>
    <x v="5"/>
  </r>
  <r>
    <s v="ORD1942"/>
    <x v="10"/>
    <x v="3"/>
    <n v="3"/>
    <n v="2185.2399999999998"/>
    <n v="6555.7199999999993"/>
    <x v="7"/>
    <d v="2026-01-04T00:00:00"/>
    <x v="1"/>
  </r>
  <r>
    <s v="ORD1943"/>
    <x v="3"/>
    <x v="1"/>
    <n v="3"/>
    <n v="26337.29"/>
    <n v="79011.87"/>
    <x v="3"/>
    <d v="2026-02-27T00:00:00"/>
    <x v="2"/>
  </r>
  <r>
    <s v="ORD1944"/>
    <x v="0"/>
    <x v="0"/>
    <n v="3"/>
    <n v="1891.84"/>
    <n v="5675.5199999999995"/>
    <x v="1"/>
    <d v="2026-06-04T00:00:00"/>
    <x v="4"/>
  </r>
  <r>
    <s v="ORD1945"/>
    <x v="1"/>
    <x v="1"/>
    <n v="2"/>
    <n v="1438.25"/>
    <n v="2876.5"/>
    <x v="4"/>
    <d v="2026-06-24T00:00:00"/>
    <x v="4"/>
  </r>
  <r>
    <s v="ORD1946"/>
    <x v="6"/>
    <x v="1"/>
    <n v="2"/>
    <n v="19664.91"/>
    <n v="39329.82"/>
    <x v="1"/>
    <d v="2026-01-31T00:00:00"/>
    <x v="1"/>
  </r>
  <r>
    <s v="ORD1947"/>
    <x v="5"/>
    <x v="0"/>
    <n v="1"/>
    <n v="4927.5200000000004"/>
    <n v="4927.5200000000004"/>
    <x v="1"/>
    <d v="2026-03-09T00:00:00"/>
    <x v="0"/>
  </r>
  <r>
    <s v="ORD1948"/>
    <x v="11"/>
    <x v="1"/>
    <n v="2"/>
    <n v="2236.9499999999998"/>
    <n v="4473.8999999999996"/>
    <x v="0"/>
    <d v="2026-01-02T00:00:00"/>
    <x v="1"/>
  </r>
  <r>
    <s v="ORD1949"/>
    <x v="9"/>
    <x v="3"/>
    <n v="4"/>
    <n v="2603.8000000000002"/>
    <n v="10415.200000000001"/>
    <x v="4"/>
    <d v="2026-01-11T00:00:00"/>
    <x v="1"/>
  </r>
  <r>
    <s v="ORD1950"/>
    <x v="11"/>
    <x v="1"/>
    <n v="3"/>
    <n v="2242.63"/>
    <n v="6727.89"/>
    <x v="9"/>
    <d v="2026-06-19T00:00:00"/>
    <x v="4"/>
  </r>
  <r>
    <s v="ORD1951"/>
    <x v="4"/>
    <x v="3"/>
    <n v="4"/>
    <n v="845.33"/>
    <n v="3381.32"/>
    <x v="1"/>
    <d v="2026-04-02T00:00:00"/>
    <x v="5"/>
  </r>
  <r>
    <s v="ORD1952"/>
    <x v="6"/>
    <x v="1"/>
    <n v="3"/>
    <n v="18091.419999999998"/>
    <n v="54274.259999999995"/>
    <x v="4"/>
    <d v="2026-05-14T00:00:00"/>
    <x v="3"/>
  </r>
  <r>
    <s v="ORD1953"/>
    <x v="6"/>
    <x v="1"/>
    <n v="5"/>
    <n v="16773.73"/>
    <n v="83868.649999999994"/>
    <x v="1"/>
    <d v="2026-05-18T00:00:00"/>
    <x v="3"/>
  </r>
  <r>
    <s v="ORD1954"/>
    <x v="5"/>
    <x v="0"/>
    <n v="1"/>
    <n v="4848.43"/>
    <n v="4848.43"/>
    <x v="5"/>
    <d v="2026-06-19T00:00:00"/>
    <x v="4"/>
  </r>
  <r>
    <s v="ORD1955"/>
    <x v="9"/>
    <x v="3"/>
    <n v="3"/>
    <n v="2429.4299999999998"/>
    <n v="7288.2899999999991"/>
    <x v="5"/>
    <d v="2026-06-08T00:00:00"/>
    <x v="4"/>
  </r>
  <r>
    <s v="ORD1956"/>
    <x v="12"/>
    <x v="4"/>
    <n v="4"/>
    <n v="4617.17"/>
    <n v="18468.68"/>
    <x v="7"/>
    <d v="2026-01-30T00:00:00"/>
    <x v="1"/>
  </r>
  <r>
    <s v="ORD1957"/>
    <x v="0"/>
    <x v="0"/>
    <n v="3"/>
    <n v="1780.44"/>
    <n v="5341.32"/>
    <x v="9"/>
    <d v="2026-06-09T00:00:00"/>
    <x v="4"/>
  </r>
  <r>
    <s v="ORD1958"/>
    <x v="1"/>
    <x v="1"/>
    <n v="1"/>
    <n v="1554.77"/>
    <n v="1554.77"/>
    <x v="6"/>
    <d v="2026-04-08T00:00:00"/>
    <x v="5"/>
  </r>
  <r>
    <s v="ORD1959"/>
    <x v="10"/>
    <x v="3"/>
    <n v="1"/>
    <n v="1953.37"/>
    <n v="1953.37"/>
    <x v="1"/>
    <d v="2026-03-14T00:00:00"/>
    <x v="0"/>
  </r>
  <r>
    <s v="ORD1960"/>
    <x v="13"/>
    <x v="1"/>
    <n v="5"/>
    <n v="58543.199999999997"/>
    <n v="292716"/>
    <x v="6"/>
    <d v="2026-05-12T00:00:00"/>
    <x v="3"/>
  </r>
  <r>
    <s v="ORD1961"/>
    <x v="10"/>
    <x v="3"/>
    <n v="5"/>
    <n v="1977.23"/>
    <n v="9886.15"/>
    <x v="7"/>
    <d v="2026-03-17T00:00:00"/>
    <x v="0"/>
  </r>
  <r>
    <s v="ORD1962"/>
    <x v="0"/>
    <x v="0"/>
    <n v="2"/>
    <n v="1735.31"/>
    <n v="3470.62"/>
    <x v="2"/>
    <d v="2026-01-25T00:00:00"/>
    <x v="1"/>
  </r>
  <r>
    <s v="ORD1963"/>
    <x v="11"/>
    <x v="1"/>
    <n v="5"/>
    <n v="2214.61"/>
    <n v="11073.050000000001"/>
    <x v="2"/>
    <d v="2026-02-23T00:00:00"/>
    <x v="2"/>
  </r>
  <r>
    <s v="ORD1964"/>
    <x v="0"/>
    <x v="0"/>
    <n v="2"/>
    <n v="1931.38"/>
    <n v="3862.76"/>
    <x v="8"/>
    <d v="2026-01-27T00:00:00"/>
    <x v="1"/>
  </r>
  <r>
    <s v="ORD1965"/>
    <x v="1"/>
    <x v="1"/>
    <n v="5"/>
    <n v="1598.62"/>
    <n v="7993.0999999999995"/>
    <x v="8"/>
    <d v="2026-06-15T00:00:00"/>
    <x v="4"/>
  </r>
  <r>
    <s v="ORD1966"/>
    <x v="7"/>
    <x v="4"/>
    <n v="1"/>
    <n v="6820.96"/>
    <n v="6820.96"/>
    <x v="4"/>
    <d v="2026-01-07T00:00:00"/>
    <x v="1"/>
  </r>
  <r>
    <s v="ORD1967"/>
    <x v="8"/>
    <x v="4"/>
    <n v="3"/>
    <n v="3176.52"/>
    <n v="9529.56"/>
    <x v="2"/>
    <d v="2026-01-14T00:00:00"/>
    <x v="1"/>
  </r>
  <r>
    <s v="ORD1968"/>
    <x v="11"/>
    <x v="1"/>
    <n v="3"/>
    <n v="2225.56"/>
    <n v="6676.68"/>
    <x v="9"/>
    <d v="2026-02-28T00:00:00"/>
    <x v="2"/>
  </r>
  <r>
    <s v="ORD1969"/>
    <x v="4"/>
    <x v="3"/>
    <n v="4"/>
    <n v="781.11"/>
    <n v="3124.44"/>
    <x v="8"/>
    <d v="2026-04-21T00:00:00"/>
    <x v="5"/>
  </r>
  <r>
    <s v="ORD1970"/>
    <x v="9"/>
    <x v="3"/>
    <n v="1"/>
    <n v="2443.77"/>
    <n v="2443.77"/>
    <x v="2"/>
    <d v="2026-05-17T00:00:00"/>
    <x v="3"/>
  </r>
  <r>
    <s v="ORD1971"/>
    <x v="13"/>
    <x v="1"/>
    <n v="5"/>
    <n v="50195.61"/>
    <n v="250978.05"/>
    <x v="9"/>
    <d v="2026-01-12T00:00:00"/>
    <x v="1"/>
  </r>
  <r>
    <s v="ORD1972"/>
    <x v="3"/>
    <x v="1"/>
    <n v="1"/>
    <n v="27203.119999999999"/>
    <n v="27203.119999999999"/>
    <x v="1"/>
    <d v="2026-01-28T00:00:00"/>
    <x v="1"/>
  </r>
  <r>
    <s v="ORD1973"/>
    <x v="4"/>
    <x v="3"/>
    <n v="3"/>
    <n v="816.03"/>
    <n v="2448.09"/>
    <x v="0"/>
    <d v="2026-04-23T00:00:00"/>
    <x v="5"/>
  </r>
  <r>
    <s v="ORD1974"/>
    <x v="5"/>
    <x v="0"/>
    <n v="4"/>
    <n v="5321.06"/>
    <n v="21284.240000000002"/>
    <x v="7"/>
    <d v="2026-05-02T00:00:00"/>
    <x v="3"/>
  </r>
  <r>
    <s v="ORD1975"/>
    <x v="11"/>
    <x v="1"/>
    <n v="5"/>
    <n v="2076.7399999999998"/>
    <n v="10383.699999999999"/>
    <x v="8"/>
    <d v="2026-05-20T00:00:00"/>
    <x v="3"/>
  </r>
  <r>
    <s v="ORD1976"/>
    <x v="4"/>
    <x v="3"/>
    <n v="2"/>
    <n v="766.73"/>
    <n v="1533.46"/>
    <x v="6"/>
    <d v="2026-01-03T00:00:00"/>
    <x v="1"/>
  </r>
  <r>
    <s v="ORD1977"/>
    <x v="12"/>
    <x v="4"/>
    <n v="5"/>
    <n v="3898.75"/>
    <n v="19493.75"/>
    <x v="7"/>
    <d v="2026-01-02T00:00:00"/>
    <x v="1"/>
  </r>
  <r>
    <s v="ORD1978"/>
    <x v="2"/>
    <x v="2"/>
    <n v="5"/>
    <n v="440.47"/>
    <n v="2202.3500000000004"/>
    <x v="1"/>
    <d v="2026-01-22T00:00:00"/>
    <x v="1"/>
  </r>
  <r>
    <s v="ORD1979"/>
    <x v="4"/>
    <x v="3"/>
    <n v="2"/>
    <n v="838.68"/>
    <n v="1677.36"/>
    <x v="6"/>
    <d v="2026-02-24T00:00:00"/>
    <x v="2"/>
  </r>
  <r>
    <s v="ORD1980"/>
    <x v="5"/>
    <x v="0"/>
    <n v="5"/>
    <n v="4641.53"/>
    <n v="23207.649999999998"/>
    <x v="4"/>
    <d v="2026-02-26T00:00:00"/>
    <x v="2"/>
  </r>
  <r>
    <s v="ORD1981"/>
    <x v="2"/>
    <x v="2"/>
    <n v="3"/>
    <n v="422.49"/>
    <n v="1267.47"/>
    <x v="4"/>
    <d v="2026-06-21T00:00:00"/>
    <x v="4"/>
  </r>
  <r>
    <s v="ORD1982"/>
    <x v="10"/>
    <x v="3"/>
    <n v="5"/>
    <n v="2139.83"/>
    <n v="10699.15"/>
    <x v="1"/>
    <d v="2026-04-29T00:00:00"/>
    <x v="5"/>
  </r>
  <r>
    <s v="ORD1983"/>
    <x v="0"/>
    <x v="0"/>
    <n v="5"/>
    <n v="1646.33"/>
    <n v="8231.65"/>
    <x v="2"/>
    <d v="2026-03-06T00:00:00"/>
    <x v="0"/>
  </r>
  <r>
    <s v="ORD1984"/>
    <x v="6"/>
    <x v="1"/>
    <n v="2"/>
    <n v="18812.12"/>
    <n v="37624.239999999998"/>
    <x v="3"/>
    <d v="2026-03-26T00:00:00"/>
    <x v="0"/>
  </r>
  <r>
    <s v="ORD1985"/>
    <x v="9"/>
    <x v="3"/>
    <n v="2"/>
    <n v="2584.61"/>
    <n v="5169.22"/>
    <x v="5"/>
    <d v="2026-01-26T00:00:00"/>
    <x v="1"/>
  </r>
  <r>
    <s v="ORD1986"/>
    <x v="4"/>
    <x v="3"/>
    <n v="5"/>
    <n v="730.26"/>
    <n v="3651.3"/>
    <x v="5"/>
    <d v="2026-03-23T00:00:00"/>
    <x v="0"/>
  </r>
  <r>
    <s v="ORD1987"/>
    <x v="8"/>
    <x v="4"/>
    <n v="4"/>
    <n v="3379.84"/>
    <n v="13519.36"/>
    <x v="0"/>
    <d v="2026-06-27T00:00:00"/>
    <x v="4"/>
  </r>
  <r>
    <s v="ORD1988"/>
    <x v="2"/>
    <x v="2"/>
    <n v="2"/>
    <n v="455.9"/>
    <n v="911.8"/>
    <x v="6"/>
    <d v="2026-03-22T00:00:00"/>
    <x v="0"/>
  </r>
  <r>
    <s v="ORD1989"/>
    <x v="5"/>
    <x v="0"/>
    <n v="2"/>
    <n v="4503.93"/>
    <n v="9007.86"/>
    <x v="5"/>
    <d v="2026-02-26T00:00:00"/>
    <x v="2"/>
  </r>
  <r>
    <s v="ORD1990"/>
    <x v="3"/>
    <x v="1"/>
    <n v="4"/>
    <n v="26749.41"/>
    <n v="106997.64"/>
    <x v="6"/>
    <d v="2026-02-04T00:00:00"/>
    <x v="2"/>
  </r>
  <r>
    <s v="ORD1991"/>
    <x v="0"/>
    <x v="0"/>
    <n v="3"/>
    <n v="1936.04"/>
    <n v="5808.12"/>
    <x v="3"/>
    <d v="2026-04-25T00:00:00"/>
    <x v="5"/>
  </r>
  <r>
    <s v="ORD1992"/>
    <x v="9"/>
    <x v="3"/>
    <n v="3"/>
    <n v="2492.4899999999998"/>
    <n v="7477.4699999999993"/>
    <x v="2"/>
    <d v="2026-02-14T00:00:00"/>
    <x v="2"/>
  </r>
  <r>
    <s v="ORD1993"/>
    <x v="0"/>
    <x v="0"/>
    <n v="5"/>
    <n v="1649.51"/>
    <n v="8247.5499999999993"/>
    <x v="0"/>
    <d v="2026-02-05T00:00:00"/>
    <x v="2"/>
  </r>
  <r>
    <s v="ORD1994"/>
    <x v="12"/>
    <x v="4"/>
    <n v="2"/>
    <n v="4001.12"/>
    <n v="8002.24"/>
    <x v="2"/>
    <d v="2026-01-20T00:00:00"/>
    <x v="1"/>
  </r>
  <r>
    <s v="ORD1995"/>
    <x v="13"/>
    <x v="1"/>
    <n v="5"/>
    <n v="56447.89"/>
    <n v="282239.45"/>
    <x v="9"/>
    <d v="2026-05-29T00:00:00"/>
    <x v="3"/>
  </r>
  <r>
    <s v="ORD1996"/>
    <x v="5"/>
    <x v="0"/>
    <n v="5"/>
    <n v="4711.82"/>
    <n v="23559.1"/>
    <x v="7"/>
    <d v="2026-05-22T00:00:00"/>
    <x v="3"/>
  </r>
  <r>
    <s v="ORD1997"/>
    <x v="4"/>
    <x v="3"/>
    <n v="5"/>
    <n v="861.96"/>
    <n v="4309.8"/>
    <x v="1"/>
    <d v="2026-05-01T00:00:00"/>
    <x v="3"/>
  </r>
  <r>
    <s v="ORD1998"/>
    <x v="0"/>
    <x v="0"/>
    <n v="2"/>
    <n v="1751.69"/>
    <n v="3503.38"/>
    <x v="5"/>
    <d v="2026-05-31T00:00:00"/>
    <x v="3"/>
  </r>
  <r>
    <s v="ORD1999"/>
    <x v="3"/>
    <x v="1"/>
    <n v="3"/>
    <n v="25949.74"/>
    <n v="77849.22"/>
    <x v="1"/>
    <d v="2026-05-11T00:00:00"/>
    <x v="3"/>
  </r>
  <r>
    <s v="ORD2000"/>
    <x v="6"/>
    <x v="1"/>
    <n v="4"/>
    <n v="17509.919999999998"/>
    <n v="70039.679999999993"/>
    <x v="7"/>
    <d v="2026-06-19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CDCE21-4170-44C1-B9CD-0C8F2E0F122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0:B40" firstHeaderRow="1" firstDataRow="1" firstDataCol="1"/>
  <pivotFields count="9">
    <pivotField showAll="0"/>
    <pivotField showAll="0"/>
    <pivotField showAll="0">
      <items count="6">
        <item x="0"/>
        <item x="2"/>
        <item x="1"/>
        <item x="3"/>
        <item x="4"/>
        <item t="default"/>
      </items>
    </pivotField>
    <pivotField showAll="0"/>
    <pivotField numFmtId="164" showAll="0"/>
    <pivotField dataField="1" numFmtId="164" showAll="0"/>
    <pivotField axis="axisRow" showAll="0" sortType="descending">
      <items count="11">
        <item x="7"/>
        <item x="5"/>
        <item x="8"/>
        <item x="4"/>
        <item x="0"/>
        <item x="3"/>
        <item x="9"/>
        <item x="2"/>
        <item x="6"/>
        <item x="1"/>
        <item t="default"/>
      </items>
      <autoSortScope>
        <pivotArea dataOnly="0" outline="0" fieldPosition="0">
          <references count="1">
            <reference field="4294967294" count="1" selected="0">
              <x v="0"/>
            </reference>
          </references>
        </pivotArea>
      </autoSortScope>
    </pivotField>
    <pivotField numFmtId="165" showAll="0"/>
    <pivotField showAll="0">
      <items count="7">
        <item x="1"/>
        <item x="2"/>
        <item x="0"/>
        <item x="5"/>
        <item x="3"/>
        <item x="4"/>
        <item t="default"/>
      </items>
    </pivotField>
  </pivotFields>
  <rowFields count="1">
    <field x="6"/>
  </rowFields>
  <rowItems count="10">
    <i>
      <x v="8"/>
    </i>
    <i>
      <x v="7"/>
    </i>
    <i>
      <x v="5"/>
    </i>
    <i>
      <x v="1"/>
    </i>
    <i>
      <x v="6"/>
    </i>
    <i>
      <x v="9"/>
    </i>
    <i>
      <x v="3"/>
    </i>
    <i>
      <x v="2"/>
    </i>
    <i>
      <x/>
    </i>
    <i>
      <x v="4"/>
    </i>
  </rowItems>
  <colItems count="1">
    <i/>
  </colItems>
  <dataFields count="1">
    <dataField name="Sum of Revenue" fld="5" baseField="0" baseItem="0" numFmtId="164"/>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5063A3-95CD-46A8-BA4E-4EAE2DCC74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4:M55" firstHeaderRow="1" firstDataRow="1" firstDataCol="0"/>
  <pivotFields count="9">
    <pivotField showAll="0"/>
    <pivotField showAll="0"/>
    <pivotField showAll="0">
      <items count="6">
        <item x="0"/>
        <item x="2"/>
        <item x="1"/>
        <item x="3"/>
        <item x="4"/>
        <item t="default"/>
      </items>
    </pivotField>
    <pivotField showAll="0"/>
    <pivotField numFmtId="164" showAll="0"/>
    <pivotField dataField="1"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Items count="1">
    <i/>
  </rowItems>
  <colItems count="1">
    <i/>
  </colItems>
  <dataFields count="1">
    <dataField name="Sum of 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11BF6-545E-4438-8B67-0644BC2B53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8:K69" firstHeaderRow="1" firstDataRow="1" firstDataCol="0"/>
  <pivotFields count="9">
    <pivotField showAll="0"/>
    <pivotField showAll="0"/>
    <pivotField showAll="0">
      <items count="6">
        <item x="0"/>
        <item x="2"/>
        <item x="1"/>
        <item x="3"/>
        <item x="4"/>
        <item t="default"/>
      </items>
    </pivotField>
    <pivotField dataField="1" showAll="0"/>
    <pivotField numFmtId="164" showAll="0"/>
    <pivotField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AFEA04-BA4A-4668-BAF3-AA6FBFA99F0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50:B64" firstHeaderRow="1" firstDataRow="1" firstDataCol="1"/>
  <pivotFields count="9">
    <pivotField showAll="0"/>
    <pivotField axis="axisRow" showAll="0" sortType="descending">
      <items count="15">
        <item x="7"/>
        <item x="0"/>
        <item x="2"/>
        <item x="12"/>
        <item x="11"/>
        <item x="10"/>
        <item x="1"/>
        <item x="13"/>
        <item x="8"/>
        <item x="9"/>
        <item x="6"/>
        <item x="3"/>
        <item x="4"/>
        <item x="5"/>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pivotField numFmtId="164" showAll="0"/>
    <pivotField dataField="1"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Fields count="1">
    <field x="1"/>
  </rowFields>
  <rowItems count="14">
    <i>
      <x v="7"/>
    </i>
    <i>
      <x v="11"/>
    </i>
    <i>
      <x v="10"/>
    </i>
    <i>
      <x/>
    </i>
    <i>
      <x v="13"/>
    </i>
    <i>
      <x v="3"/>
    </i>
    <i>
      <x v="8"/>
    </i>
    <i>
      <x v="9"/>
    </i>
    <i>
      <x v="5"/>
    </i>
    <i>
      <x v="1"/>
    </i>
    <i>
      <x v="4"/>
    </i>
    <i>
      <x v="6"/>
    </i>
    <i>
      <x v="12"/>
    </i>
    <i>
      <x v="2"/>
    </i>
  </rowItems>
  <colItems count="1">
    <i/>
  </colItems>
  <dataFields count="1">
    <dataField name="Sum of Revenue" fld="5"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A8A1F-CA97-46CA-9265-2D0AB9D0D6D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8" firstHeaderRow="1" firstDataRow="1" firstDataCol="1"/>
  <pivotFields count="9">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Fields count="1">
    <field x="2"/>
  </rowFields>
  <rowItems count="5">
    <i>
      <x v="2"/>
    </i>
    <i>
      <x v="4"/>
    </i>
    <i>
      <x/>
    </i>
    <i>
      <x v="3"/>
    </i>
    <i>
      <x v="1"/>
    </i>
  </rowItems>
  <colItems count="1">
    <i/>
  </colItems>
  <dataFields count="1">
    <dataField name="Sum of Revenue" fld="5"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4"/>
          </reference>
        </references>
      </pivotArea>
    </chartFormat>
    <chartFormat chart="5" format="15">
      <pivotArea type="data" outline="0" fieldPosition="0">
        <references count="2">
          <reference field="4294967294" count="1" selected="0">
            <x v="0"/>
          </reference>
          <reference field="2" count="1" selected="0">
            <x v="0"/>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4D8C0-60FA-48B4-B0EB-13B283BD679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7:O98" firstHeaderRow="1" firstDataRow="1" firstDataCol="1"/>
  <pivotFields count="9">
    <pivotField showAll="0"/>
    <pivotField showAll="0"/>
    <pivotField showAll="0">
      <items count="6">
        <item x="0"/>
        <item x="2"/>
        <item x="1"/>
        <item x="3"/>
        <item x="4"/>
        <item t="default"/>
      </items>
    </pivotField>
    <pivotField showAll="0"/>
    <pivotField numFmtId="164" showAll="0"/>
    <pivotField dataField="1" numFmtId="164" showAll="0"/>
    <pivotField axis="axisRow" showAll="0" sortType="descending">
      <items count="11">
        <item x="7"/>
        <item x="5"/>
        <item x="8"/>
        <item x="4"/>
        <item x="0"/>
        <item x="3"/>
        <item x="9"/>
        <item x="2"/>
        <item x="6"/>
        <item x="1"/>
        <item t="default"/>
      </items>
      <autoSortScope>
        <pivotArea dataOnly="0" outline="0" fieldPosition="0">
          <references count="1">
            <reference field="4294967294" count="1" selected="0">
              <x v="0"/>
            </reference>
          </references>
        </pivotArea>
      </autoSortScope>
    </pivotField>
    <pivotField numFmtId="165" showAll="0"/>
    <pivotField showAll="0">
      <items count="7">
        <item x="1"/>
        <item x="2"/>
        <item x="0"/>
        <item x="5"/>
        <item x="3"/>
        <item x="4"/>
        <item t="default"/>
      </items>
    </pivotField>
  </pivotFields>
  <rowFields count="1">
    <field x="6"/>
  </rowFields>
  <rowItems count="11">
    <i>
      <x v="8"/>
    </i>
    <i>
      <x v="7"/>
    </i>
    <i>
      <x v="5"/>
    </i>
    <i>
      <x v="1"/>
    </i>
    <i>
      <x v="6"/>
    </i>
    <i>
      <x v="9"/>
    </i>
    <i>
      <x v="3"/>
    </i>
    <i>
      <x v="2"/>
    </i>
    <i>
      <x/>
    </i>
    <i>
      <x v="4"/>
    </i>
    <i t="grand">
      <x/>
    </i>
  </rowItems>
  <colItems count="1">
    <i/>
  </colItems>
  <dataFields count="1">
    <dataField name="Sum of 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41675E-3380-4720-BBCB-66701DD80A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6:L92" firstHeaderRow="1" firstDataRow="1" firstDataCol="1"/>
  <pivotFields count="9">
    <pivotField showAll="0"/>
    <pivotField showAll="0"/>
    <pivotField axis="axisRow" dataField="1" showAll="0">
      <items count="6">
        <item x="0"/>
        <item x="2"/>
        <item x="1"/>
        <item x="3"/>
        <item x="4"/>
        <item t="default"/>
      </items>
    </pivotField>
    <pivotField showAll="0"/>
    <pivotField numFmtId="164" showAll="0"/>
    <pivotField numFmtId="164" showAll="0"/>
    <pivotField showAll="0"/>
    <pivotField numFmtId="165" showAll="0"/>
    <pivotField showAll="0"/>
  </pivotFields>
  <rowFields count="1">
    <field x="2"/>
  </rowFields>
  <rowItems count="6">
    <i>
      <x/>
    </i>
    <i>
      <x v="1"/>
    </i>
    <i>
      <x v="2"/>
    </i>
    <i>
      <x v="3"/>
    </i>
    <i>
      <x v="4"/>
    </i>
    <i t="grand">
      <x/>
    </i>
  </rowItems>
  <colItems count="1">
    <i/>
  </colItems>
  <dataFields count="1">
    <dataField name="Count of Category" fld="2" subtotal="count" baseField="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078DCA-A9A3-4BFA-8F16-01889FA681B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85:B95" firstHeaderRow="1" firstDataRow="1" firstDataCol="1"/>
  <pivotFields count="9">
    <pivotField dataField="1" showAll="0"/>
    <pivotField showAll="0"/>
    <pivotField showAll="0">
      <items count="6">
        <item x="0"/>
        <item x="2"/>
        <item x="1"/>
        <item x="3"/>
        <item x="4"/>
        <item t="default"/>
      </items>
    </pivotField>
    <pivotField showAll="0"/>
    <pivotField numFmtId="164" showAll="0"/>
    <pivotField numFmtId="164" showAll="0"/>
    <pivotField axis="axisRow" showAll="0" sortType="descending">
      <items count="11">
        <item x="7"/>
        <item x="5"/>
        <item x="8"/>
        <item x="4"/>
        <item x="0"/>
        <item x="3"/>
        <item x="9"/>
        <item x="2"/>
        <item x="6"/>
        <item x="1"/>
        <item t="default"/>
      </items>
      <autoSortScope>
        <pivotArea dataOnly="0" outline="0" fieldPosition="0">
          <references count="1">
            <reference field="4294967294" count="1" selected="0">
              <x v="0"/>
            </reference>
          </references>
        </pivotArea>
      </autoSortScope>
    </pivotField>
    <pivotField numFmtId="165" showAll="0"/>
    <pivotField showAll="0">
      <items count="7">
        <item x="1"/>
        <item x="2"/>
        <item x="0"/>
        <item x="5"/>
        <item x="3"/>
        <item x="4"/>
        <item t="default"/>
      </items>
    </pivotField>
  </pivotFields>
  <rowFields count="1">
    <field x="6"/>
  </rowFields>
  <rowItems count="10">
    <i>
      <x v="7"/>
    </i>
    <i>
      <x v="5"/>
    </i>
    <i>
      <x v="9"/>
    </i>
    <i>
      <x v="8"/>
    </i>
    <i>
      <x/>
    </i>
    <i>
      <x v="2"/>
    </i>
    <i>
      <x v="4"/>
    </i>
    <i>
      <x v="3"/>
    </i>
    <i>
      <x v="1"/>
    </i>
    <i>
      <x v="6"/>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A7B428-3EE0-4293-B71A-7E41DD5848F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8:B24" firstHeaderRow="1" firstDataRow="1" firstDataCol="1"/>
  <pivotFields count="9">
    <pivotField showAll="0"/>
    <pivotField showAll="0"/>
    <pivotField showAll="0">
      <items count="6">
        <item x="0"/>
        <item x="2"/>
        <item x="1"/>
        <item x="3"/>
        <item x="4"/>
        <item t="default"/>
      </items>
    </pivotField>
    <pivotField showAll="0"/>
    <pivotField numFmtId="164" showAll="0"/>
    <pivotField dataField="1" numFmtId="164" showAll="0"/>
    <pivotField showAll="0">
      <items count="11">
        <item x="7"/>
        <item x="5"/>
        <item x="8"/>
        <item x="4"/>
        <item x="0"/>
        <item x="3"/>
        <item x="9"/>
        <item x="2"/>
        <item x="6"/>
        <item x="1"/>
        <item t="default"/>
      </items>
    </pivotField>
    <pivotField numFmtId="165" showAll="0"/>
    <pivotField axis="axisRow" showAll="0">
      <items count="7">
        <item x="1"/>
        <item x="2"/>
        <item x="0"/>
        <item x="5"/>
        <item x="3"/>
        <item x="4"/>
        <item t="default"/>
      </items>
    </pivotField>
  </pivotFields>
  <rowFields count="1">
    <field x="8"/>
  </rowFields>
  <rowItems count="6">
    <i>
      <x/>
    </i>
    <i>
      <x v="1"/>
    </i>
    <i>
      <x v="2"/>
    </i>
    <i>
      <x v="3"/>
    </i>
    <i>
      <x v="4"/>
    </i>
    <i>
      <x v="5"/>
    </i>
  </rowItems>
  <colItems count="1">
    <i/>
  </colItems>
  <dataFields count="1">
    <dataField name="Sum of Revenue" fld="5" baseField="0" baseItem="0" numFmtId="164"/>
  </dataFields>
  <chartFormats count="3">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75C781-2982-4B9E-A6B8-D1623680342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77:L82" firstHeaderRow="1" firstDataRow="1" firstDataCol="1"/>
  <pivotFields count="9">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Fields count="1">
    <field x="2"/>
  </rowFields>
  <rowItems count="5">
    <i>
      <x v="2"/>
    </i>
    <i>
      <x v="4"/>
    </i>
    <i>
      <x/>
    </i>
    <i>
      <x v="3"/>
    </i>
    <i>
      <x v="1"/>
    </i>
  </rowItems>
  <colItems count="1">
    <i/>
  </colItems>
  <dataFields count="1">
    <dataField name="Sum of 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28246F-54FE-4DAF-80AA-C085E85A0C3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70:B75" firstHeaderRow="1" firstDataRow="1" firstDataCol="1"/>
  <pivotFields count="9">
    <pivotField showAll="0"/>
    <pivotField showAll="0"/>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Fields count="1">
    <field x="2"/>
  </rowFields>
  <rowItems count="5">
    <i>
      <x v="2"/>
    </i>
    <i>
      <x v="1"/>
    </i>
    <i>
      <x/>
    </i>
    <i>
      <x v="4"/>
    </i>
    <i>
      <x v="3"/>
    </i>
  </rowItems>
  <colItems count="1">
    <i/>
  </colItems>
  <dataFields count="1">
    <dataField name="Sum of Quantity" fld="3"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4590BF-A93C-4453-AD28-B3A0C83C84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8:M59" firstHeaderRow="1" firstDataRow="1" firstDataCol="0"/>
  <pivotFields count="9">
    <pivotField dataField="1" showAll="0"/>
    <pivotField showAll="0"/>
    <pivotField showAll="0">
      <items count="6">
        <item x="0"/>
        <item x="2"/>
        <item x="1"/>
        <item x="3"/>
        <item x="4"/>
        <item t="default"/>
      </items>
    </pivotField>
    <pivotField showAll="0"/>
    <pivotField numFmtId="164" showAll="0"/>
    <pivotField numFmtId="164" showAll="0"/>
    <pivotField showAll="0">
      <items count="11">
        <item x="7"/>
        <item x="5"/>
        <item x="8"/>
        <item x="4"/>
        <item x="0"/>
        <item x="3"/>
        <item x="9"/>
        <item x="2"/>
        <item x="6"/>
        <item x="1"/>
        <item t="default"/>
      </items>
    </pivotField>
    <pivotField numFmtId="165" showAll="0"/>
    <pivotField showAll="0">
      <items count="7">
        <item x="1"/>
        <item x="2"/>
        <item x="0"/>
        <item x="5"/>
        <item x="3"/>
        <item x="4"/>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D64815-83EF-439D-A682-8040C5F88615}" sourceName="Month">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 tabId="2" name="PivotTable12"/>
  </pivotTables>
  <data>
    <tabular pivotCacheId="618314804">
      <items count="6">
        <i x="1" s="1"/>
        <i x="2" s="1"/>
        <i x="0"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A7FDE0-CA60-40B8-822D-6F4854D27D1A}" sourceName="City">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 tabId="2" name="PivotTable12"/>
  </pivotTables>
  <data>
    <tabular pivotCacheId="618314804">
      <items count="10">
        <i x="7" s="1"/>
        <i x="5" s="1"/>
        <i x="8" s="1"/>
        <i x="4" s="1"/>
        <i x="0" s="1"/>
        <i x="3" s="1"/>
        <i x="9" s="1"/>
        <i x="2"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B44BD3-C652-4C76-95B8-16C0C15970E8}" sourceName="Category">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 tabId="2" name="PivotTable12"/>
  </pivotTables>
  <data>
    <tabular pivotCacheId="618314804">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15D3324-467F-421F-85BD-CEE8ED176519}" cache="Slicer_Month" caption="Month" style="BLUE" rowHeight="234950"/>
  <slicer name="City" xr10:uid="{229DB7A1-943A-4744-A5C7-8581EC3F141C}" cache="Slicer_City" caption="City" style="BLUE" rowHeight="234950"/>
  <slicer name="Category" xr10:uid="{C91E81C1-B36E-4A20-9D6B-1E82D8313031}" cache="Slicer_Category" caption="Category" style="B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17F8D-E4CB-461D-A044-287350E7BC5A}" name="Table1" displayName="Table1" ref="A1:I1001" totalsRowShown="0" headerRowDxfId="10" dataDxfId="9">
  <autoFilter ref="A1:I1001" xr:uid="{D5317F8D-E4CB-461D-A044-287350E7BC5A}"/>
  <tableColumns count="9">
    <tableColumn id="1" xr3:uid="{C9803CD5-4B8C-43E0-A94F-633D30A43EDF}" name="Order_ID" dataDxfId="8"/>
    <tableColumn id="2" xr3:uid="{7F2E030E-85DE-48D2-84DB-62FAEE3844FD}" name="Product" dataDxfId="7"/>
    <tableColumn id="3" xr3:uid="{06323D79-5D8F-43EC-8A43-D561EA8DDFB7}" name="Category" dataDxfId="6"/>
    <tableColumn id="4" xr3:uid="{968BAF6E-C539-48B3-86C9-DC3ED1851FF7}" name="Quantity" dataDxfId="5"/>
    <tableColumn id="5" xr3:uid="{5958CBF1-B5E0-498B-8DBD-7141F9683381}" name="Price" dataDxfId="4"/>
    <tableColumn id="6" xr3:uid="{ADD563A4-F587-4626-84C1-EB3693D43C42}" name="Revenue" dataDxfId="3">
      <calculatedColumnFormula>D2*E2</calculatedColumnFormula>
    </tableColumn>
    <tableColumn id="7" xr3:uid="{7EF493BB-DEAA-4646-B6B0-4626882CB5E7}" name="City" dataDxfId="2"/>
    <tableColumn id="8" xr3:uid="{61F2A825-30E5-42EE-98A4-DF722773BFFD}" name="Date" dataDxfId="1"/>
    <tableColumn id="9" xr3:uid="{CD444D3E-7C13-4BE0-A1F5-B844BCABEF8F}" name="Month" dataDxfId="0">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EAB9-2130-48F5-A06B-DBAA59F4E664}">
  <dimension ref="A1:I1001"/>
  <sheetViews>
    <sheetView topLeftCell="A2" workbookViewId="0">
      <selection activeCell="B9" sqref="B9"/>
    </sheetView>
  </sheetViews>
  <sheetFormatPr defaultRowHeight="14.4" x14ac:dyDescent="0.3"/>
  <cols>
    <col min="1" max="1" width="21.88671875" customWidth="1"/>
    <col min="2" max="2" width="21.44140625" customWidth="1"/>
    <col min="3" max="3" width="18.109375" customWidth="1"/>
    <col min="4" max="4" width="18.21875" customWidth="1"/>
    <col min="5" max="6" width="17.77734375" customWidth="1"/>
    <col min="7" max="7" width="14.33203125" customWidth="1"/>
    <col min="8" max="8" width="24.77734375" customWidth="1"/>
  </cols>
  <sheetData>
    <row r="1" spans="1:9" x14ac:dyDescent="0.3">
      <c r="A1" s="1" t="s">
        <v>0</v>
      </c>
      <c r="B1" s="1" t="s">
        <v>1</v>
      </c>
      <c r="C1" s="1" t="s">
        <v>2</v>
      </c>
      <c r="D1" s="1" t="s">
        <v>3</v>
      </c>
      <c r="E1" s="1" t="s">
        <v>4</v>
      </c>
      <c r="F1" s="1" t="s">
        <v>1036</v>
      </c>
      <c r="G1" s="1" t="s">
        <v>5</v>
      </c>
      <c r="H1" s="1" t="s">
        <v>6</v>
      </c>
      <c r="I1" s="1" t="s">
        <v>1037</v>
      </c>
    </row>
    <row r="2" spans="1:9" x14ac:dyDescent="0.3">
      <c r="A2" s="3" t="s">
        <v>7</v>
      </c>
      <c r="B2" s="3" t="s">
        <v>8</v>
      </c>
      <c r="C2" s="3" t="s">
        <v>9</v>
      </c>
      <c r="D2" s="3">
        <v>1</v>
      </c>
      <c r="E2" s="4">
        <v>1629</v>
      </c>
      <c r="F2" s="4">
        <f>D2*E2</f>
        <v>1629</v>
      </c>
      <c r="G2" s="3" t="s">
        <v>10</v>
      </c>
      <c r="H2" s="5">
        <v>46085</v>
      </c>
      <c r="I2" s="3" t="str">
        <f>TEXT(Table1[[#This Row],[Date]],"mmm")</f>
        <v>Mar</v>
      </c>
    </row>
    <row r="3" spans="1:9" x14ac:dyDescent="0.3">
      <c r="A3" s="3" t="s">
        <v>11</v>
      </c>
      <c r="B3" s="3" t="s">
        <v>12</v>
      </c>
      <c r="C3" s="3" t="s">
        <v>13</v>
      </c>
      <c r="D3" s="3">
        <v>2</v>
      </c>
      <c r="E3" s="4">
        <v>1570.94</v>
      </c>
      <c r="F3" s="4">
        <f t="shared" ref="F3:F66" si="0">D3*E3</f>
        <v>3141.88</v>
      </c>
      <c r="G3" s="3" t="s">
        <v>14</v>
      </c>
      <c r="H3" s="5">
        <v>46045</v>
      </c>
      <c r="I3" s="3" t="str">
        <f>TEXT(Table1[[#This Row],[Date]],"mmm")</f>
        <v>Jan</v>
      </c>
    </row>
    <row r="4" spans="1:9" x14ac:dyDescent="0.3">
      <c r="A4" s="3" t="s">
        <v>15</v>
      </c>
      <c r="B4" s="3" t="s">
        <v>16</v>
      </c>
      <c r="C4" s="3" t="s">
        <v>17</v>
      </c>
      <c r="D4" s="3">
        <v>4</v>
      </c>
      <c r="E4" s="4">
        <v>407.86</v>
      </c>
      <c r="F4" s="4">
        <f t="shared" si="0"/>
        <v>1631.44</v>
      </c>
      <c r="G4" s="3" t="s">
        <v>18</v>
      </c>
      <c r="H4" s="5">
        <v>46078</v>
      </c>
      <c r="I4" s="3" t="str">
        <f>TEXT(Table1[[#This Row],[Date]],"mmm")</f>
        <v>Feb</v>
      </c>
    </row>
    <row r="5" spans="1:9" x14ac:dyDescent="0.3">
      <c r="A5" s="3" t="s">
        <v>19</v>
      </c>
      <c r="B5" s="3" t="s">
        <v>12</v>
      </c>
      <c r="C5" s="3" t="s">
        <v>13</v>
      </c>
      <c r="D5" s="3">
        <v>5</v>
      </c>
      <c r="E5" s="4">
        <v>1530.61</v>
      </c>
      <c r="F5" s="4">
        <f t="shared" si="0"/>
        <v>7653.0499999999993</v>
      </c>
      <c r="G5" s="3" t="s">
        <v>14</v>
      </c>
      <c r="H5" s="5">
        <v>46073</v>
      </c>
      <c r="I5" s="3" t="str">
        <f>TEXT(Table1[[#This Row],[Date]],"mmm")</f>
        <v>Feb</v>
      </c>
    </row>
    <row r="6" spans="1:9" x14ac:dyDescent="0.3">
      <c r="A6" s="3" t="s">
        <v>20</v>
      </c>
      <c r="B6" s="3" t="s">
        <v>21</v>
      </c>
      <c r="C6" s="3" t="s">
        <v>13</v>
      </c>
      <c r="D6" s="3">
        <v>5</v>
      </c>
      <c r="E6" s="4">
        <v>27549.31</v>
      </c>
      <c r="F6" s="4">
        <f t="shared" si="0"/>
        <v>137746.55000000002</v>
      </c>
      <c r="G6" s="3" t="s">
        <v>22</v>
      </c>
      <c r="H6" s="5">
        <v>46173</v>
      </c>
      <c r="I6" s="3" t="str">
        <f>TEXT(Table1[[#This Row],[Date]],"mmm")</f>
        <v>May</v>
      </c>
    </row>
    <row r="7" spans="1:9" x14ac:dyDescent="0.3">
      <c r="A7" s="3" t="s">
        <v>23</v>
      </c>
      <c r="B7" s="3" t="s">
        <v>24</v>
      </c>
      <c r="C7" s="3" t="s">
        <v>25</v>
      </c>
      <c r="D7" s="3">
        <v>1</v>
      </c>
      <c r="E7" s="4">
        <v>840.36</v>
      </c>
      <c r="F7" s="4">
        <f t="shared" si="0"/>
        <v>840.36</v>
      </c>
      <c r="G7" s="3" t="s">
        <v>26</v>
      </c>
      <c r="H7" s="5">
        <v>46201</v>
      </c>
      <c r="I7" s="3" t="str">
        <f>TEXT(Table1[[#This Row],[Date]],"mmm")</f>
        <v>Jun</v>
      </c>
    </row>
    <row r="8" spans="1:9" x14ac:dyDescent="0.3">
      <c r="A8" s="3" t="s">
        <v>27</v>
      </c>
      <c r="B8" s="3" t="s">
        <v>28</v>
      </c>
      <c r="C8" s="3" t="s">
        <v>9</v>
      </c>
      <c r="D8" s="3">
        <v>3</v>
      </c>
      <c r="E8" s="4">
        <v>4776.92</v>
      </c>
      <c r="F8" s="4">
        <f t="shared" si="0"/>
        <v>14330.76</v>
      </c>
      <c r="G8" s="3" t="s">
        <v>29</v>
      </c>
      <c r="H8" s="5">
        <v>46109</v>
      </c>
      <c r="I8" s="3" t="str">
        <f>TEXT(Table1[[#This Row],[Date]],"mmm")</f>
        <v>Mar</v>
      </c>
    </row>
    <row r="9" spans="1:9" x14ac:dyDescent="0.3">
      <c r="A9" s="3" t="s">
        <v>30</v>
      </c>
      <c r="B9" s="3" t="s">
        <v>31</v>
      </c>
      <c r="C9" s="3" t="s">
        <v>13</v>
      </c>
      <c r="D9" s="3">
        <v>1</v>
      </c>
      <c r="E9" s="4">
        <v>17567.740000000002</v>
      </c>
      <c r="F9" s="4">
        <f t="shared" si="0"/>
        <v>17567.740000000002</v>
      </c>
      <c r="G9" s="3" t="s">
        <v>32</v>
      </c>
      <c r="H9" s="5">
        <v>46111</v>
      </c>
      <c r="I9" s="3" t="str">
        <f>TEXT(Table1[[#This Row],[Date]],"mmm")</f>
        <v>Mar</v>
      </c>
    </row>
    <row r="10" spans="1:9" x14ac:dyDescent="0.3">
      <c r="A10" s="3" t="s">
        <v>33</v>
      </c>
      <c r="B10" s="3" t="s">
        <v>16</v>
      </c>
      <c r="C10" s="3" t="s">
        <v>17</v>
      </c>
      <c r="D10" s="3">
        <v>3</v>
      </c>
      <c r="E10" s="4">
        <v>477.64</v>
      </c>
      <c r="F10" s="4">
        <f t="shared" si="0"/>
        <v>1432.92</v>
      </c>
      <c r="G10" s="3" t="s">
        <v>22</v>
      </c>
      <c r="H10" s="5">
        <v>46160</v>
      </c>
      <c r="I10" s="3" t="str">
        <f>TEXT(Table1[[#This Row],[Date]],"mmm")</f>
        <v>May</v>
      </c>
    </row>
    <row r="11" spans="1:9" x14ac:dyDescent="0.3">
      <c r="A11" s="3" t="s">
        <v>34</v>
      </c>
      <c r="B11" s="3" t="s">
        <v>31</v>
      </c>
      <c r="C11" s="3" t="s">
        <v>13</v>
      </c>
      <c r="D11" s="3">
        <v>4</v>
      </c>
      <c r="E11" s="4">
        <v>16483.68</v>
      </c>
      <c r="F11" s="4">
        <f t="shared" si="0"/>
        <v>65934.720000000001</v>
      </c>
      <c r="G11" s="3" t="s">
        <v>10</v>
      </c>
      <c r="H11" s="5">
        <v>46183</v>
      </c>
      <c r="I11" s="3" t="str">
        <f>TEXT(Table1[[#This Row],[Date]],"mmm")</f>
        <v>Jun</v>
      </c>
    </row>
    <row r="12" spans="1:9" x14ac:dyDescent="0.3">
      <c r="A12" s="3" t="s">
        <v>35</v>
      </c>
      <c r="B12" s="3" t="s">
        <v>16</v>
      </c>
      <c r="C12" s="3" t="s">
        <v>17</v>
      </c>
      <c r="D12" s="3">
        <v>3</v>
      </c>
      <c r="E12" s="4">
        <v>456.96</v>
      </c>
      <c r="F12" s="4">
        <f t="shared" si="0"/>
        <v>1370.8799999999999</v>
      </c>
      <c r="G12" s="3" t="s">
        <v>18</v>
      </c>
      <c r="H12" s="5">
        <v>46034</v>
      </c>
      <c r="I12" s="3" t="str">
        <f>TEXT(Table1[[#This Row],[Date]],"mmm")</f>
        <v>Jan</v>
      </c>
    </row>
    <row r="13" spans="1:9" x14ac:dyDescent="0.3">
      <c r="A13" s="3" t="s">
        <v>36</v>
      </c>
      <c r="B13" s="3" t="s">
        <v>8</v>
      </c>
      <c r="C13" s="3" t="s">
        <v>9</v>
      </c>
      <c r="D13" s="3">
        <v>2</v>
      </c>
      <c r="E13" s="4">
        <v>1898.3</v>
      </c>
      <c r="F13" s="4">
        <f t="shared" si="0"/>
        <v>3796.6</v>
      </c>
      <c r="G13" s="3" t="s">
        <v>18</v>
      </c>
      <c r="H13" s="5">
        <v>46082</v>
      </c>
      <c r="I13" s="3" t="str">
        <f>TEXT(Table1[[#This Row],[Date]],"mmm")</f>
        <v>Mar</v>
      </c>
    </row>
    <row r="14" spans="1:9" x14ac:dyDescent="0.3">
      <c r="A14" s="3" t="s">
        <v>37</v>
      </c>
      <c r="B14" s="3" t="s">
        <v>38</v>
      </c>
      <c r="C14" s="3" t="s">
        <v>39</v>
      </c>
      <c r="D14" s="3">
        <v>1</v>
      </c>
      <c r="E14" s="4">
        <v>6344.16</v>
      </c>
      <c r="F14" s="4">
        <f t="shared" si="0"/>
        <v>6344.16</v>
      </c>
      <c r="G14" s="3" t="s">
        <v>22</v>
      </c>
      <c r="H14" s="5">
        <v>46185</v>
      </c>
      <c r="I14" s="3" t="str">
        <f>TEXT(Table1[[#This Row],[Date]],"mmm")</f>
        <v>Jun</v>
      </c>
    </row>
    <row r="15" spans="1:9" x14ac:dyDescent="0.3">
      <c r="A15" s="3" t="s">
        <v>40</v>
      </c>
      <c r="B15" s="3" t="s">
        <v>38</v>
      </c>
      <c r="C15" s="3" t="s">
        <v>39</v>
      </c>
      <c r="D15" s="3">
        <v>3</v>
      </c>
      <c r="E15" s="4">
        <v>6061.45</v>
      </c>
      <c r="F15" s="4">
        <f t="shared" si="0"/>
        <v>18184.349999999999</v>
      </c>
      <c r="G15" s="3" t="s">
        <v>32</v>
      </c>
      <c r="H15" s="5">
        <v>46076</v>
      </c>
      <c r="I15" s="3" t="str">
        <f>TEXT(Table1[[#This Row],[Date]],"mmm")</f>
        <v>Feb</v>
      </c>
    </row>
    <row r="16" spans="1:9" x14ac:dyDescent="0.3">
      <c r="A16" s="3" t="s">
        <v>41</v>
      </c>
      <c r="B16" s="3" t="s">
        <v>8</v>
      </c>
      <c r="C16" s="3" t="s">
        <v>9</v>
      </c>
      <c r="D16" s="3">
        <v>3</v>
      </c>
      <c r="E16" s="4">
        <v>1872.66</v>
      </c>
      <c r="F16" s="4">
        <f t="shared" si="0"/>
        <v>5617.9800000000005</v>
      </c>
      <c r="G16" s="3" t="s">
        <v>18</v>
      </c>
      <c r="H16" s="5">
        <v>46178</v>
      </c>
      <c r="I16" s="3" t="str">
        <f>TEXT(Table1[[#This Row],[Date]],"mmm")</f>
        <v>Jun</v>
      </c>
    </row>
    <row r="17" spans="1:9" x14ac:dyDescent="0.3">
      <c r="A17" s="3" t="s">
        <v>42</v>
      </c>
      <c r="B17" s="3" t="s">
        <v>8</v>
      </c>
      <c r="C17" s="3" t="s">
        <v>9</v>
      </c>
      <c r="D17" s="3">
        <v>2</v>
      </c>
      <c r="E17" s="4">
        <v>1812.29</v>
      </c>
      <c r="F17" s="4">
        <f t="shared" si="0"/>
        <v>3624.58</v>
      </c>
      <c r="G17" s="3" t="s">
        <v>29</v>
      </c>
      <c r="H17" s="5">
        <v>46064</v>
      </c>
      <c r="I17" s="3" t="str">
        <f>TEXT(Table1[[#This Row],[Date]],"mmm")</f>
        <v>Feb</v>
      </c>
    </row>
    <row r="18" spans="1:9" x14ac:dyDescent="0.3">
      <c r="A18" s="3" t="s">
        <v>43</v>
      </c>
      <c r="B18" s="3" t="s">
        <v>44</v>
      </c>
      <c r="C18" s="3" t="s">
        <v>39</v>
      </c>
      <c r="D18" s="3">
        <v>4</v>
      </c>
      <c r="E18" s="4">
        <v>3338.96</v>
      </c>
      <c r="F18" s="4">
        <f t="shared" si="0"/>
        <v>13355.84</v>
      </c>
      <c r="G18" s="3" t="s">
        <v>14</v>
      </c>
      <c r="H18" s="5">
        <v>46079</v>
      </c>
      <c r="I18" s="3" t="str">
        <f>TEXT(Table1[[#This Row],[Date]],"mmm")</f>
        <v>Feb</v>
      </c>
    </row>
    <row r="19" spans="1:9" x14ac:dyDescent="0.3">
      <c r="A19" s="3" t="s">
        <v>45</v>
      </c>
      <c r="B19" s="3" t="s">
        <v>8</v>
      </c>
      <c r="C19" s="3" t="s">
        <v>9</v>
      </c>
      <c r="D19" s="3">
        <v>3</v>
      </c>
      <c r="E19" s="4">
        <v>1923.43</v>
      </c>
      <c r="F19" s="4">
        <f t="shared" si="0"/>
        <v>5770.29</v>
      </c>
      <c r="G19" s="3" t="s">
        <v>46</v>
      </c>
      <c r="H19" s="5">
        <v>46081</v>
      </c>
      <c r="I19" s="3" t="str">
        <f>TEXT(Table1[[#This Row],[Date]],"mmm")</f>
        <v>Feb</v>
      </c>
    </row>
    <row r="20" spans="1:9" x14ac:dyDescent="0.3">
      <c r="A20" s="3" t="s">
        <v>47</v>
      </c>
      <c r="B20" s="3" t="s">
        <v>38</v>
      </c>
      <c r="C20" s="3" t="s">
        <v>39</v>
      </c>
      <c r="D20" s="3">
        <v>1</v>
      </c>
      <c r="E20" s="4">
        <v>6896.56</v>
      </c>
      <c r="F20" s="4">
        <f t="shared" si="0"/>
        <v>6896.56</v>
      </c>
      <c r="G20" s="3" t="s">
        <v>48</v>
      </c>
      <c r="H20" s="5">
        <v>46091</v>
      </c>
      <c r="I20" s="3" t="str">
        <f>TEXT(Table1[[#This Row],[Date]],"mmm")</f>
        <v>Mar</v>
      </c>
    </row>
    <row r="21" spans="1:9" x14ac:dyDescent="0.3">
      <c r="A21" s="3" t="s">
        <v>49</v>
      </c>
      <c r="B21" s="3" t="s">
        <v>31</v>
      </c>
      <c r="C21" s="3" t="s">
        <v>13</v>
      </c>
      <c r="D21" s="3">
        <v>2</v>
      </c>
      <c r="E21" s="4">
        <v>19487.29</v>
      </c>
      <c r="F21" s="4">
        <f t="shared" si="0"/>
        <v>38974.58</v>
      </c>
      <c r="G21" s="3" t="s">
        <v>50</v>
      </c>
      <c r="H21" s="5">
        <v>46103</v>
      </c>
      <c r="I21" s="3" t="str">
        <f>TEXT(Table1[[#This Row],[Date]],"mmm")</f>
        <v>Mar</v>
      </c>
    </row>
    <row r="22" spans="1:9" x14ac:dyDescent="0.3">
      <c r="A22" s="3" t="s">
        <v>51</v>
      </c>
      <c r="B22" s="3" t="s">
        <v>12</v>
      </c>
      <c r="C22" s="3" t="s">
        <v>13</v>
      </c>
      <c r="D22" s="3">
        <v>4</v>
      </c>
      <c r="E22" s="4">
        <v>1468.69</v>
      </c>
      <c r="F22" s="4">
        <f t="shared" si="0"/>
        <v>5874.76</v>
      </c>
      <c r="G22" s="3" t="s">
        <v>22</v>
      </c>
      <c r="H22" s="5">
        <v>46059</v>
      </c>
      <c r="I22" s="3" t="str">
        <f>TEXT(Table1[[#This Row],[Date]],"mmm")</f>
        <v>Feb</v>
      </c>
    </row>
    <row r="23" spans="1:9" x14ac:dyDescent="0.3">
      <c r="A23" s="3" t="s">
        <v>52</v>
      </c>
      <c r="B23" s="3" t="s">
        <v>24</v>
      </c>
      <c r="C23" s="3" t="s">
        <v>25</v>
      </c>
      <c r="D23" s="3">
        <v>2</v>
      </c>
      <c r="E23" s="4">
        <v>758.51</v>
      </c>
      <c r="F23" s="4">
        <f t="shared" si="0"/>
        <v>1517.02</v>
      </c>
      <c r="G23" s="3" t="s">
        <v>14</v>
      </c>
      <c r="H23" s="5">
        <v>46160</v>
      </c>
      <c r="I23" s="3" t="str">
        <f>TEXT(Table1[[#This Row],[Date]],"mmm")</f>
        <v>May</v>
      </c>
    </row>
    <row r="24" spans="1:9" x14ac:dyDescent="0.3">
      <c r="A24" s="3" t="s">
        <v>53</v>
      </c>
      <c r="B24" s="3" t="s">
        <v>24</v>
      </c>
      <c r="C24" s="3" t="s">
        <v>25</v>
      </c>
      <c r="D24" s="3">
        <v>5</v>
      </c>
      <c r="E24" s="4">
        <v>787.56</v>
      </c>
      <c r="F24" s="4">
        <f t="shared" si="0"/>
        <v>3937.7999999999997</v>
      </c>
      <c r="G24" s="3" t="s">
        <v>50</v>
      </c>
      <c r="H24" s="5">
        <v>46125</v>
      </c>
      <c r="I24" s="3" t="str">
        <f>TEXT(Table1[[#This Row],[Date]],"mmm")</f>
        <v>Apr</v>
      </c>
    </row>
    <row r="25" spans="1:9" x14ac:dyDescent="0.3">
      <c r="A25" s="3" t="s">
        <v>54</v>
      </c>
      <c r="B25" s="3" t="s">
        <v>55</v>
      </c>
      <c r="C25" s="3" t="s">
        <v>25</v>
      </c>
      <c r="D25" s="3">
        <v>2</v>
      </c>
      <c r="E25" s="4">
        <v>2747.56</v>
      </c>
      <c r="F25" s="4">
        <f t="shared" si="0"/>
        <v>5495.12</v>
      </c>
      <c r="G25" s="3" t="s">
        <v>26</v>
      </c>
      <c r="H25" s="5">
        <v>46153</v>
      </c>
      <c r="I25" s="3" t="str">
        <f>TEXT(Table1[[#This Row],[Date]],"mmm")</f>
        <v>May</v>
      </c>
    </row>
    <row r="26" spans="1:9" x14ac:dyDescent="0.3">
      <c r="A26" s="3" t="s">
        <v>56</v>
      </c>
      <c r="B26" s="3" t="s">
        <v>44</v>
      </c>
      <c r="C26" s="3" t="s">
        <v>39</v>
      </c>
      <c r="D26" s="3">
        <v>1</v>
      </c>
      <c r="E26" s="4">
        <v>3679.05</v>
      </c>
      <c r="F26" s="4">
        <f t="shared" si="0"/>
        <v>3679.05</v>
      </c>
      <c r="G26" s="3" t="s">
        <v>18</v>
      </c>
      <c r="H26" s="5">
        <v>46062</v>
      </c>
      <c r="I26" s="3" t="str">
        <f>TEXT(Table1[[#This Row],[Date]],"mmm")</f>
        <v>Feb</v>
      </c>
    </row>
    <row r="27" spans="1:9" x14ac:dyDescent="0.3">
      <c r="A27" s="3" t="s">
        <v>57</v>
      </c>
      <c r="B27" s="3" t="s">
        <v>8</v>
      </c>
      <c r="C27" s="3" t="s">
        <v>9</v>
      </c>
      <c r="D27" s="3">
        <v>2</v>
      </c>
      <c r="E27" s="4">
        <v>1905.15</v>
      </c>
      <c r="F27" s="4">
        <f t="shared" si="0"/>
        <v>3810.3</v>
      </c>
      <c r="G27" s="3" t="s">
        <v>48</v>
      </c>
      <c r="H27" s="5">
        <v>46175</v>
      </c>
      <c r="I27" s="3" t="str">
        <f>TEXT(Table1[[#This Row],[Date]],"mmm")</f>
        <v>Jun</v>
      </c>
    </row>
    <row r="28" spans="1:9" x14ac:dyDescent="0.3">
      <c r="A28" s="3" t="s">
        <v>58</v>
      </c>
      <c r="B28" s="3" t="s">
        <v>31</v>
      </c>
      <c r="C28" s="3" t="s">
        <v>13</v>
      </c>
      <c r="D28" s="3">
        <v>4</v>
      </c>
      <c r="E28" s="4">
        <v>17573.830000000002</v>
      </c>
      <c r="F28" s="4">
        <f t="shared" si="0"/>
        <v>70295.320000000007</v>
      </c>
      <c r="G28" s="3" t="s">
        <v>22</v>
      </c>
      <c r="H28" s="5">
        <v>46158</v>
      </c>
      <c r="I28" s="3" t="str">
        <f>TEXT(Table1[[#This Row],[Date]],"mmm")</f>
        <v>May</v>
      </c>
    </row>
    <row r="29" spans="1:9" x14ac:dyDescent="0.3">
      <c r="A29" s="3" t="s">
        <v>59</v>
      </c>
      <c r="B29" s="3" t="s">
        <v>24</v>
      </c>
      <c r="C29" s="3" t="s">
        <v>25</v>
      </c>
      <c r="D29" s="3">
        <v>5</v>
      </c>
      <c r="E29" s="4">
        <v>856.65</v>
      </c>
      <c r="F29" s="4">
        <f t="shared" si="0"/>
        <v>4283.25</v>
      </c>
      <c r="G29" s="3" t="s">
        <v>46</v>
      </c>
      <c r="H29" s="5">
        <v>46197</v>
      </c>
      <c r="I29" s="3" t="str">
        <f>TEXT(Table1[[#This Row],[Date]],"mmm")</f>
        <v>Jun</v>
      </c>
    </row>
    <row r="30" spans="1:9" x14ac:dyDescent="0.3">
      <c r="A30" s="3" t="s">
        <v>60</v>
      </c>
      <c r="B30" s="3" t="s">
        <v>21</v>
      </c>
      <c r="C30" s="3" t="s">
        <v>13</v>
      </c>
      <c r="D30" s="3">
        <v>1</v>
      </c>
      <c r="E30" s="4">
        <v>29017.58</v>
      </c>
      <c r="F30" s="4">
        <f t="shared" si="0"/>
        <v>29017.58</v>
      </c>
      <c r="G30" s="3" t="s">
        <v>14</v>
      </c>
      <c r="H30" s="5">
        <v>46091</v>
      </c>
      <c r="I30" s="3" t="str">
        <f>TEXT(Table1[[#This Row],[Date]],"mmm")</f>
        <v>Mar</v>
      </c>
    </row>
    <row r="31" spans="1:9" x14ac:dyDescent="0.3">
      <c r="A31" s="3" t="s">
        <v>61</v>
      </c>
      <c r="B31" s="3" t="s">
        <v>62</v>
      </c>
      <c r="C31" s="3" t="s">
        <v>25</v>
      </c>
      <c r="D31" s="3">
        <v>3</v>
      </c>
      <c r="E31" s="4">
        <v>1843.7</v>
      </c>
      <c r="F31" s="4">
        <f t="shared" si="0"/>
        <v>5531.1</v>
      </c>
      <c r="G31" s="3" t="s">
        <v>48</v>
      </c>
      <c r="H31" s="5">
        <v>46063</v>
      </c>
      <c r="I31" s="3" t="str">
        <f>TEXT(Table1[[#This Row],[Date]],"mmm")</f>
        <v>Feb</v>
      </c>
    </row>
    <row r="32" spans="1:9" x14ac:dyDescent="0.3">
      <c r="A32" s="3" t="s">
        <v>63</v>
      </c>
      <c r="B32" s="3" t="s">
        <v>44</v>
      </c>
      <c r="C32" s="3" t="s">
        <v>39</v>
      </c>
      <c r="D32" s="3">
        <v>1</v>
      </c>
      <c r="E32" s="4">
        <v>3817.67</v>
      </c>
      <c r="F32" s="4">
        <f t="shared" si="0"/>
        <v>3817.67</v>
      </c>
      <c r="G32" s="3" t="s">
        <v>10</v>
      </c>
      <c r="H32" s="5">
        <v>46151</v>
      </c>
      <c r="I32" s="3" t="str">
        <f>TEXT(Table1[[#This Row],[Date]],"mmm")</f>
        <v>May</v>
      </c>
    </row>
    <row r="33" spans="1:9" x14ac:dyDescent="0.3">
      <c r="A33" s="3" t="s">
        <v>64</v>
      </c>
      <c r="B33" s="3" t="s">
        <v>62</v>
      </c>
      <c r="C33" s="3" t="s">
        <v>25</v>
      </c>
      <c r="D33" s="3">
        <v>2</v>
      </c>
      <c r="E33" s="4">
        <v>2002.07</v>
      </c>
      <c r="F33" s="4">
        <f t="shared" si="0"/>
        <v>4004.14</v>
      </c>
      <c r="G33" s="3" t="s">
        <v>18</v>
      </c>
      <c r="H33" s="5">
        <v>46183</v>
      </c>
      <c r="I33" s="3" t="str">
        <f>TEXT(Table1[[#This Row],[Date]],"mmm")</f>
        <v>Jun</v>
      </c>
    </row>
    <row r="34" spans="1:9" x14ac:dyDescent="0.3">
      <c r="A34" s="3" t="s">
        <v>65</v>
      </c>
      <c r="B34" s="3" t="s">
        <v>24</v>
      </c>
      <c r="C34" s="3" t="s">
        <v>25</v>
      </c>
      <c r="D34" s="3">
        <v>5</v>
      </c>
      <c r="E34" s="4">
        <v>816.41</v>
      </c>
      <c r="F34" s="4">
        <f t="shared" si="0"/>
        <v>4082.0499999999997</v>
      </c>
      <c r="G34" s="3" t="s">
        <v>26</v>
      </c>
      <c r="H34" s="5">
        <v>46118</v>
      </c>
      <c r="I34" s="3" t="str">
        <f>TEXT(Table1[[#This Row],[Date]],"mmm")</f>
        <v>Apr</v>
      </c>
    </row>
    <row r="35" spans="1:9" x14ac:dyDescent="0.3">
      <c r="A35" s="3" t="s">
        <v>66</v>
      </c>
      <c r="B35" s="3" t="s">
        <v>62</v>
      </c>
      <c r="C35" s="3" t="s">
        <v>25</v>
      </c>
      <c r="D35" s="3">
        <v>2</v>
      </c>
      <c r="E35" s="4">
        <v>2014.74</v>
      </c>
      <c r="F35" s="4">
        <f t="shared" si="0"/>
        <v>4029.48</v>
      </c>
      <c r="G35" s="3" t="s">
        <v>14</v>
      </c>
      <c r="H35" s="5">
        <v>46023</v>
      </c>
      <c r="I35" s="3" t="str">
        <f>TEXT(Table1[[#This Row],[Date]],"mmm")</f>
        <v>Jan</v>
      </c>
    </row>
    <row r="36" spans="1:9" x14ac:dyDescent="0.3">
      <c r="A36" s="3" t="s">
        <v>67</v>
      </c>
      <c r="B36" s="3" t="s">
        <v>16</v>
      </c>
      <c r="C36" s="3" t="s">
        <v>17</v>
      </c>
      <c r="D36" s="3">
        <v>3</v>
      </c>
      <c r="E36" s="4">
        <v>448.97</v>
      </c>
      <c r="F36" s="4">
        <f t="shared" si="0"/>
        <v>1346.91</v>
      </c>
      <c r="G36" s="3" t="s">
        <v>18</v>
      </c>
      <c r="H36" s="5">
        <v>46115</v>
      </c>
      <c r="I36" s="3" t="str">
        <f>TEXT(Table1[[#This Row],[Date]],"mmm")</f>
        <v>Apr</v>
      </c>
    </row>
    <row r="37" spans="1:9" x14ac:dyDescent="0.3">
      <c r="A37" s="3" t="s">
        <v>68</v>
      </c>
      <c r="B37" s="3" t="s">
        <v>38</v>
      </c>
      <c r="C37" s="3" t="s">
        <v>39</v>
      </c>
      <c r="D37" s="3">
        <v>3</v>
      </c>
      <c r="E37" s="4">
        <v>6161.29</v>
      </c>
      <c r="F37" s="4">
        <f t="shared" si="0"/>
        <v>18483.87</v>
      </c>
      <c r="G37" s="3" t="s">
        <v>29</v>
      </c>
      <c r="H37" s="5">
        <v>46168</v>
      </c>
      <c r="I37" s="3" t="str">
        <f>TEXT(Table1[[#This Row],[Date]],"mmm")</f>
        <v>May</v>
      </c>
    </row>
    <row r="38" spans="1:9" x14ac:dyDescent="0.3">
      <c r="A38" s="3" t="s">
        <v>69</v>
      </c>
      <c r="B38" s="3" t="s">
        <v>31</v>
      </c>
      <c r="C38" s="3" t="s">
        <v>13</v>
      </c>
      <c r="D38" s="3">
        <v>1</v>
      </c>
      <c r="E38" s="4">
        <v>18834.87</v>
      </c>
      <c r="F38" s="4">
        <f t="shared" si="0"/>
        <v>18834.87</v>
      </c>
      <c r="G38" s="3" t="s">
        <v>18</v>
      </c>
      <c r="H38" s="5">
        <v>46159</v>
      </c>
      <c r="I38" s="3" t="str">
        <f>TEXT(Table1[[#This Row],[Date]],"mmm")</f>
        <v>May</v>
      </c>
    </row>
    <row r="39" spans="1:9" x14ac:dyDescent="0.3">
      <c r="A39" s="3" t="s">
        <v>70</v>
      </c>
      <c r="B39" s="3" t="s">
        <v>62</v>
      </c>
      <c r="C39" s="3" t="s">
        <v>25</v>
      </c>
      <c r="D39" s="3">
        <v>2</v>
      </c>
      <c r="E39" s="4">
        <v>1850.43</v>
      </c>
      <c r="F39" s="4">
        <f t="shared" si="0"/>
        <v>3700.86</v>
      </c>
      <c r="G39" s="3" t="s">
        <v>22</v>
      </c>
      <c r="H39" s="5">
        <v>46163</v>
      </c>
      <c r="I39" s="3" t="str">
        <f>TEXT(Table1[[#This Row],[Date]],"mmm")</f>
        <v>May</v>
      </c>
    </row>
    <row r="40" spans="1:9" x14ac:dyDescent="0.3">
      <c r="A40" s="3" t="s">
        <v>71</v>
      </c>
      <c r="B40" s="3" t="s">
        <v>72</v>
      </c>
      <c r="C40" s="3" t="s">
        <v>13</v>
      </c>
      <c r="D40" s="3">
        <v>3</v>
      </c>
      <c r="E40" s="4">
        <v>2212.1799999999998</v>
      </c>
      <c r="F40" s="4">
        <f t="shared" si="0"/>
        <v>6636.5399999999991</v>
      </c>
      <c r="G40" s="3" t="s">
        <v>50</v>
      </c>
      <c r="H40" s="5">
        <v>46131</v>
      </c>
      <c r="I40" s="3" t="str">
        <f>TEXT(Table1[[#This Row],[Date]],"mmm")</f>
        <v>Apr</v>
      </c>
    </row>
    <row r="41" spans="1:9" x14ac:dyDescent="0.3">
      <c r="A41" s="3" t="s">
        <v>73</v>
      </c>
      <c r="B41" s="3" t="s">
        <v>12</v>
      </c>
      <c r="C41" s="3" t="s">
        <v>13</v>
      </c>
      <c r="D41" s="3">
        <v>5</v>
      </c>
      <c r="E41" s="4">
        <v>1576.58</v>
      </c>
      <c r="F41" s="4">
        <f t="shared" si="0"/>
        <v>7882.9</v>
      </c>
      <c r="G41" s="3" t="s">
        <v>29</v>
      </c>
      <c r="H41" s="5">
        <v>46102</v>
      </c>
      <c r="I41" s="3" t="str">
        <f>TEXT(Table1[[#This Row],[Date]],"mmm")</f>
        <v>Mar</v>
      </c>
    </row>
    <row r="42" spans="1:9" x14ac:dyDescent="0.3">
      <c r="A42" s="3" t="s">
        <v>74</v>
      </c>
      <c r="B42" s="3" t="s">
        <v>28</v>
      </c>
      <c r="C42" s="3" t="s">
        <v>9</v>
      </c>
      <c r="D42" s="3">
        <v>3</v>
      </c>
      <c r="E42" s="4">
        <v>4937.1099999999997</v>
      </c>
      <c r="F42" s="4">
        <f t="shared" si="0"/>
        <v>14811.329999999998</v>
      </c>
      <c r="G42" s="3" t="s">
        <v>14</v>
      </c>
      <c r="H42" s="5">
        <v>46138</v>
      </c>
      <c r="I42" s="3" t="str">
        <f>TEXT(Table1[[#This Row],[Date]],"mmm")</f>
        <v>Apr</v>
      </c>
    </row>
    <row r="43" spans="1:9" x14ac:dyDescent="0.3">
      <c r="A43" s="3" t="s">
        <v>75</v>
      </c>
      <c r="B43" s="3" t="s">
        <v>31</v>
      </c>
      <c r="C43" s="3" t="s">
        <v>13</v>
      </c>
      <c r="D43" s="3">
        <v>2</v>
      </c>
      <c r="E43" s="4">
        <v>17008.91</v>
      </c>
      <c r="F43" s="4">
        <f t="shared" si="0"/>
        <v>34017.82</v>
      </c>
      <c r="G43" s="3" t="s">
        <v>32</v>
      </c>
      <c r="H43" s="5">
        <v>46028</v>
      </c>
      <c r="I43" s="3" t="str">
        <f>TEXT(Table1[[#This Row],[Date]],"mmm")</f>
        <v>Jan</v>
      </c>
    </row>
    <row r="44" spans="1:9" x14ac:dyDescent="0.3">
      <c r="A44" s="3" t="s">
        <v>76</v>
      </c>
      <c r="B44" s="3" t="s">
        <v>16</v>
      </c>
      <c r="C44" s="3" t="s">
        <v>17</v>
      </c>
      <c r="D44" s="3">
        <v>5</v>
      </c>
      <c r="E44" s="4">
        <v>425.71</v>
      </c>
      <c r="F44" s="4">
        <f t="shared" si="0"/>
        <v>2128.5499999999997</v>
      </c>
      <c r="G44" s="3" t="s">
        <v>29</v>
      </c>
      <c r="H44" s="5">
        <v>46024</v>
      </c>
      <c r="I44" s="3" t="str">
        <f>TEXT(Table1[[#This Row],[Date]],"mmm")</f>
        <v>Jan</v>
      </c>
    </row>
    <row r="45" spans="1:9" x14ac:dyDescent="0.3">
      <c r="A45" s="3" t="s">
        <v>77</v>
      </c>
      <c r="B45" s="3" t="s">
        <v>31</v>
      </c>
      <c r="C45" s="3" t="s">
        <v>13</v>
      </c>
      <c r="D45" s="3">
        <v>1</v>
      </c>
      <c r="E45" s="4">
        <v>17024.189999999999</v>
      </c>
      <c r="F45" s="4">
        <f t="shared" si="0"/>
        <v>17024.189999999999</v>
      </c>
      <c r="G45" s="3" t="s">
        <v>46</v>
      </c>
      <c r="H45" s="5">
        <v>46107</v>
      </c>
      <c r="I45" s="3" t="str">
        <f>TEXT(Table1[[#This Row],[Date]],"mmm")</f>
        <v>Mar</v>
      </c>
    </row>
    <row r="46" spans="1:9" x14ac:dyDescent="0.3">
      <c r="A46" s="3" t="s">
        <v>78</v>
      </c>
      <c r="B46" s="3" t="s">
        <v>31</v>
      </c>
      <c r="C46" s="3" t="s">
        <v>13</v>
      </c>
      <c r="D46" s="3">
        <v>5</v>
      </c>
      <c r="E46" s="4">
        <v>17056.82</v>
      </c>
      <c r="F46" s="4">
        <f t="shared" si="0"/>
        <v>85284.1</v>
      </c>
      <c r="G46" s="3" t="s">
        <v>22</v>
      </c>
      <c r="H46" s="5">
        <v>46077</v>
      </c>
      <c r="I46" s="3" t="str">
        <f>TEXT(Table1[[#This Row],[Date]],"mmm")</f>
        <v>Feb</v>
      </c>
    </row>
    <row r="47" spans="1:9" x14ac:dyDescent="0.3">
      <c r="A47" s="3" t="s">
        <v>79</v>
      </c>
      <c r="B47" s="3" t="s">
        <v>80</v>
      </c>
      <c r="C47" s="3" t="s">
        <v>39</v>
      </c>
      <c r="D47" s="3">
        <v>2</v>
      </c>
      <c r="E47" s="4">
        <v>4387.62</v>
      </c>
      <c r="F47" s="4">
        <f t="shared" si="0"/>
        <v>8775.24</v>
      </c>
      <c r="G47" s="3" t="s">
        <v>50</v>
      </c>
      <c r="H47" s="5">
        <v>46170</v>
      </c>
      <c r="I47" s="3" t="str">
        <f>TEXT(Table1[[#This Row],[Date]],"mmm")</f>
        <v>May</v>
      </c>
    </row>
    <row r="48" spans="1:9" x14ac:dyDescent="0.3">
      <c r="A48" s="3" t="s">
        <v>81</v>
      </c>
      <c r="B48" s="3" t="s">
        <v>44</v>
      </c>
      <c r="C48" s="3" t="s">
        <v>39</v>
      </c>
      <c r="D48" s="3">
        <v>2</v>
      </c>
      <c r="E48" s="4">
        <v>3699.23</v>
      </c>
      <c r="F48" s="4">
        <f t="shared" si="0"/>
        <v>7398.46</v>
      </c>
      <c r="G48" s="3" t="s">
        <v>48</v>
      </c>
      <c r="H48" s="5">
        <v>46071</v>
      </c>
      <c r="I48" s="3" t="str">
        <f>TEXT(Table1[[#This Row],[Date]],"mmm")</f>
        <v>Feb</v>
      </c>
    </row>
    <row r="49" spans="1:9" x14ac:dyDescent="0.3">
      <c r="A49" s="3" t="s">
        <v>82</v>
      </c>
      <c r="B49" s="3" t="s">
        <v>31</v>
      </c>
      <c r="C49" s="3" t="s">
        <v>13</v>
      </c>
      <c r="D49" s="3">
        <v>1</v>
      </c>
      <c r="E49" s="4">
        <v>18572.34</v>
      </c>
      <c r="F49" s="4">
        <f t="shared" si="0"/>
        <v>18572.34</v>
      </c>
      <c r="G49" s="3" t="s">
        <v>32</v>
      </c>
      <c r="H49" s="5">
        <v>46131</v>
      </c>
      <c r="I49" s="3" t="str">
        <f>TEXT(Table1[[#This Row],[Date]],"mmm")</f>
        <v>Apr</v>
      </c>
    </row>
    <row r="50" spans="1:9" x14ac:dyDescent="0.3">
      <c r="A50" s="3" t="s">
        <v>83</v>
      </c>
      <c r="B50" s="3" t="s">
        <v>28</v>
      </c>
      <c r="C50" s="3" t="s">
        <v>9</v>
      </c>
      <c r="D50" s="3">
        <v>4</v>
      </c>
      <c r="E50" s="4">
        <v>5362.76</v>
      </c>
      <c r="F50" s="4">
        <f t="shared" si="0"/>
        <v>21451.040000000001</v>
      </c>
      <c r="G50" s="3" t="s">
        <v>46</v>
      </c>
      <c r="H50" s="5">
        <v>46195</v>
      </c>
      <c r="I50" s="3" t="str">
        <f>TEXT(Table1[[#This Row],[Date]],"mmm")</f>
        <v>Jun</v>
      </c>
    </row>
    <row r="51" spans="1:9" x14ac:dyDescent="0.3">
      <c r="A51" s="3" t="s">
        <v>84</v>
      </c>
      <c r="B51" s="3" t="s">
        <v>8</v>
      </c>
      <c r="C51" s="3" t="s">
        <v>9</v>
      </c>
      <c r="D51" s="3">
        <v>1</v>
      </c>
      <c r="E51" s="4">
        <v>1641.82</v>
      </c>
      <c r="F51" s="4">
        <f t="shared" si="0"/>
        <v>1641.82</v>
      </c>
      <c r="G51" s="3" t="s">
        <v>32</v>
      </c>
      <c r="H51" s="5">
        <v>46050</v>
      </c>
      <c r="I51" s="3" t="str">
        <f>TEXT(Table1[[#This Row],[Date]],"mmm")</f>
        <v>Jan</v>
      </c>
    </row>
    <row r="52" spans="1:9" x14ac:dyDescent="0.3">
      <c r="A52" s="3" t="s">
        <v>85</v>
      </c>
      <c r="B52" s="3" t="s">
        <v>12</v>
      </c>
      <c r="C52" s="3" t="s">
        <v>13</v>
      </c>
      <c r="D52" s="3">
        <v>2</v>
      </c>
      <c r="E52" s="4">
        <v>1407.06</v>
      </c>
      <c r="F52" s="4">
        <f t="shared" si="0"/>
        <v>2814.12</v>
      </c>
      <c r="G52" s="3" t="s">
        <v>22</v>
      </c>
      <c r="H52" s="5">
        <v>46058</v>
      </c>
      <c r="I52" s="3" t="str">
        <f>TEXT(Table1[[#This Row],[Date]],"mmm")</f>
        <v>Feb</v>
      </c>
    </row>
    <row r="53" spans="1:9" x14ac:dyDescent="0.3">
      <c r="A53" s="3" t="s">
        <v>86</v>
      </c>
      <c r="B53" s="3" t="s">
        <v>28</v>
      </c>
      <c r="C53" s="3" t="s">
        <v>9</v>
      </c>
      <c r="D53" s="3">
        <v>2</v>
      </c>
      <c r="E53" s="4">
        <v>4777.59</v>
      </c>
      <c r="F53" s="4">
        <f t="shared" si="0"/>
        <v>9555.18</v>
      </c>
      <c r="G53" s="3" t="s">
        <v>29</v>
      </c>
      <c r="H53" s="5">
        <v>46042</v>
      </c>
      <c r="I53" s="3" t="str">
        <f>TEXT(Table1[[#This Row],[Date]],"mmm")</f>
        <v>Jan</v>
      </c>
    </row>
    <row r="54" spans="1:9" x14ac:dyDescent="0.3">
      <c r="A54" s="3" t="s">
        <v>87</v>
      </c>
      <c r="B54" s="3" t="s">
        <v>44</v>
      </c>
      <c r="C54" s="3" t="s">
        <v>39</v>
      </c>
      <c r="D54" s="3">
        <v>5</v>
      </c>
      <c r="E54" s="4">
        <v>3218.54</v>
      </c>
      <c r="F54" s="4">
        <f t="shared" si="0"/>
        <v>16092.7</v>
      </c>
      <c r="G54" s="3" t="s">
        <v>14</v>
      </c>
      <c r="H54" s="5">
        <v>46026</v>
      </c>
      <c r="I54" s="3" t="str">
        <f>TEXT(Table1[[#This Row],[Date]],"mmm")</f>
        <v>Jan</v>
      </c>
    </row>
    <row r="55" spans="1:9" x14ac:dyDescent="0.3">
      <c r="A55" s="3" t="s">
        <v>88</v>
      </c>
      <c r="B55" s="3" t="s">
        <v>31</v>
      </c>
      <c r="C55" s="3" t="s">
        <v>13</v>
      </c>
      <c r="D55" s="3">
        <v>2</v>
      </c>
      <c r="E55" s="4">
        <v>16798.72</v>
      </c>
      <c r="F55" s="4">
        <f t="shared" si="0"/>
        <v>33597.440000000002</v>
      </c>
      <c r="G55" s="3" t="s">
        <v>22</v>
      </c>
      <c r="H55" s="5">
        <v>46146</v>
      </c>
      <c r="I55" s="3" t="str">
        <f>TEXT(Table1[[#This Row],[Date]],"mmm")</f>
        <v>May</v>
      </c>
    </row>
    <row r="56" spans="1:9" x14ac:dyDescent="0.3">
      <c r="A56" s="3" t="s">
        <v>89</v>
      </c>
      <c r="B56" s="3" t="s">
        <v>12</v>
      </c>
      <c r="C56" s="3" t="s">
        <v>13</v>
      </c>
      <c r="D56" s="3">
        <v>4</v>
      </c>
      <c r="E56" s="4">
        <v>1620.73</v>
      </c>
      <c r="F56" s="4">
        <f t="shared" si="0"/>
        <v>6482.92</v>
      </c>
      <c r="G56" s="3" t="s">
        <v>26</v>
      </c>
      <c r="H56" s="5">
        <v>46120</v>
      </c>
      <c r="I56" s="3" t="str">
        <f>TEXT(Table1[[#This Row],[Date]],"mmm")</f>
        <v>Apr</v>
      </c>
    </row>
    <row r="57" spans="1:9" x14ac:dyDescent="0.3">
      <c r="A57" s="3" t="s">
        <v>90</v>
      </c>
      <c r="B57" s="3" t="s">
        <v>91</v>
      </c>
      <c r="C57" s="3" t="s">
        <v>13</v>
      </c>
      <c r="D57" s="3">
        <v>4</v>
      </c>
      <c r="E57" s="4">
        <v>52417.23</v>
      </c>
      <c r="F57" s="4">
        <f t="shared" si="0"/>
        <v>209668.92</v>
      </c>
      <c r="G57" s="3" t="s">
        <v>22</v>
      </c>
      <c r="H57" s="5">
        <v>46096</v>
      </c>
      <c r="I57" s="3" t="str">
        <f>TEXT(Table1[[#This Row],[Date]],"mmm")</f>
        <v>Mar</v>
      </c>
    </row>
    <row r="58" spans="1:9" x14ac:dyDescent="0.3">
      <c r="A58" s="3" t="s">
        <v>92</v>
      </c>
      <c r="B58" s="3" t="s">
        <v>28</v>
      </c>
      <c r="C58" s="3" t="s">
        <v>9</v>
      </c>
      <c r="D58" s="3">
        <v>5</v>
      </c>
      <c r="E58" s="4">
        <v>5160.84</v>
      </c>
      <c r="F58" s="4">
        <f t="shared" si="0"/>
        <v>25804.2</v>
      </c>
      <c r="G58" s="3" t="s">
        <v>22</v>
      </c>
      <c r="H58" s="5">
        <v>46062</v>
      </c>
      <c r="I58" s="3" t="str">
        <f>TEXT(Table1[[#This Row],[Date]],"mmm")</f>
        <v>Feb</v>
      </c>
    </row>
    <row r="59" spans="1:9" x14ac:dyDescent="0.3">
      <c r="A59" s="3" t="s">
        <v>93</v>
      </c>
      <c r="B59" s="3" t="s">
        <v>12</v>
      </c>
      <c r="C59" s="3" t="s">
        <v>13</v>
      </c>
      <c r="D59" s="3">
        <v>3</v>
      </c>
      <c r="E59" s="4">
        <v>1415.31</v>
      </c>
      <c r="F59" s="4">
        <f t="shared" si="0"/>
        <v>4245.93</v>
      </c>
      <c r="G59" s="3" t="s">
        <v>46</v>
      </c>
      <c r="H59" s="5">
        <v>46171</v>
      </c>
      <c r="I59" s="3" t="str">
        <f>TEXT(Table1[[#This Row],[Date]],"mmm")</f>
        <v>May</v>
      </c>
    </row>
    <row r="60" spans="1:9" x14ac:dyDescent="0.3">
      <c r="A60" s="3" t="s">
        <v>94</v>
      </c>
      <c r="B60" s="3" t="s">
        <v>21</v>
      </c>
      <c r="C60" s="3" t="s">
        <v>13</v>
      </c>
      <c r="D60" s="3">
        <v>5</v>
      </c>
      <c r="E60" s="4">
        <v>25541.360000000001</v>
      </c>
      <c r="F60" s="4">
        <f t="shared" si="0"/>
        <v>127706.8</v>
      </c>
      <c r="G60" s="3" t="s">
        <v>32</v>
      </c>
      <c r="H60" s="5">
        <v>46037</v>
      </c>
      <c r="I60" s="3" t="str">
        <f>TEXT(Table1[[#This Row],[Date]],"mmm")</f>
        <v>Jan</v>
      </c>
    </row>
    <row r="61" spans="1:9" x14ac:dyDescent="0.3">
      <c r="A61" s="3" t="s">
        <v>95</v>
      </c>
      <c r="B61" s="3" t="s">
        <v>91</v>
      </c>
      <c r="C61" s="3" t="s">
        <v>13</v>
      </c>
      <c r="D61" s="3">
        <v>5</v>
      </c>
      <c r="E61" s="4">
        <v>54744.67</v>
      </c>
      <c r="F61" s="4">
        <f t="shared" si="0"/>
        <v>273723.34999999998</v>
      </c>
      <c r="G61" s="3" t="s">
        <v>14</v>
      </c>
      <c r="H61" s="5">
        <v>46063</v>
      </c>
      <c r="I61" s="3" t="str">
        <f>TEXT(Table1[[#This Row],[Date]],"mmm")</f>
        <v>Feb</v>
      </c>
    </row>
    <row r="62" spans="1:9" x14ac:dyDescent="0.3">
      <c r="A62" s="3" t="s">
        <v>96</v>
      </c>
      <c r="B62" s="3" t="s">
        <v>91</v>
      </c>
      <c r="C62" s="3" t="s">
        <v>13</v>
      </c>
      <c r="D62" s="3">
        <v>5</v>
      </c>
      <c r="E62" s="4">
        <v>50381.23</v>
      </c>
      <c r="F62" s="4">
        <f t="shared" si="0"/>
        <v>251906.15000000002</v>
      </c>
      <c r="G62" s="3" t="s">
        <v>26</v>
      </c>
      <c r="H62" s="5">
        <v>46040</v>
      </c>
      <c r="I62" s="3" t="str">
        <f>TEXT(Table1[[#This Row],[Date]],"mmm")</f>
        <v>Jan</v>
      </c>
    </row>
    <row r="63" spans="1:9" x14ac:dyDescent="0.3">
      <c r="A63" s="3" t="s">
        <v>97</v>
      </c>
      <c r="B63" s="3" t="s">
        <v>16</v>
      </c>
      <c r="C63" s="3" t="s">
        <v>17</v>
      </c>
      <c r="D63" s="3">
        <v>1</v>
      </c>
      <c r="E63" s="4">
        <v>465.77</v>
      </c>
      <c r="F63" s="4">
        <f t="shared" si="0"/>
        <v>465.77</v>
      </c>
      <c r="G63" s="3" t="s">
        <v>29</v>
      </c>
      <c r="H63" s="5">
        <v>46126</v>
      </c>
      <c r="I63" s="3" t="str">
        <f>TEXT(Table1[[#This Row],[Date]],"mmm")</f>
        <v>Apr</v>
      </c>
    </row>
    <row r="64" spans="1:9" x14ac:dyDescent="0.3">
      <c r="A64" s="3" t="s">
        <v>98</v>
      </c>
      <c r="B64" s="3" t="s">
        <v>31</v>
      </c>
      <c r="C64" s="3" t="s">
        <v>13</v>
      </c>
      <c r="D64" s="3">
        <v>5</v>
      </c>
      <c r="E64" s="4">
        <v>17086.38</v>
      </c>
      <c r="F64" s="4">
        <f t="shared" si="0"/>
        <v>85431.900000000009</v>
      </c>
      <c r="G64" s="3" t="s">
        <v>50</v>
      </c>
      <c r="H64" s="5">
        <v>46033</v>
      </c>
      <c r="I64" s="3" t="str">
        <f>TEXT(Table1[[#This Row],[Date]],"mmm")</f>
        <v>Jan</v>
      </c>
    </row>
    <row r="65" spans="1:9" x14ac:dyDescent="0.3">
      <c r="A65" s="3" t="s">
        <v>99</v>
      </c>
      <c r="B65" s="3" t="s">
        <v>16</v>
      </c>
      <c r="C65" s="3" t="s">
        <v>17</v>
      </c>
      <c r="D65" s="3">
        <v>1</v>
      </c>
      <c r="E65" s="4">
        <v>442.73</v>
      </c>
      <c r="F65" s="4">
        <f t="shared" si="0"/>
        <v>442.73</v>
      </c>
      <c r="G65" s="3" t="s">
        <v>50</v>
      </c>
      <c r="H65" s="5">
        <v>46167</v>
      </c>
      <c r="I65" s="3" t="str">
        <f>TEXT(Table1[[#This Row],[Date]],"mmm")</f>
        <v>May</v>
      </c>
    </row>
    <row r="66" spans="1:9" x14ac:dyDescent="0.3">
      <c r="A66" s="3" t="s">
        <v>100</v>
      </c>
      <c r="B66" s="3" t="s">
        <v>80</v>
      </c>
      <c r="C66" s="3" t="s">
        <v>39</v>
      </c>
      <c r="D66" s="3">
        <v>3</v>
      </c>
      <c r="E66" s="4">
        <v>4565.1499999999996</v>
      </c>
      <c r="F66" s="4">
        <f t="shared" si="0"/>
        <v>13695.449999999999</v>
      </c>
      <c r="G66" s="3" t="s">
        <v>29</v>
      </c>
      <c r="H66" s="5">
        <v>46194</v>
      </c>
      <c r="I66" s="3" t="str">
        <f>TEXT(Table1[[#This Row],[Date]],"mmm")</f>
        <v>Jun</v>
      </c>
    </row>
    <row r="67" spans="1:9" x14ac:dyDescent="0.3">
      <c r="A67" s="3" t="s">
        <v>101</v>
      </c>
      <c r="B67" s="3" t="s">
        <v>21</v>
      </c>
      <c r="C67" s="3" t="s">
        <v>13</v>
      </c>
      <c r="D67" s="3">
        <v>3</v>
      </c>
      <c r="E67" s="4">
        <v>26536.639999999999</v>
      </c>
      <c r="F67" s="4">
        <f t="shared" ref="F67:F130" si="1">D67*E67</f>
        <v>79609.919999999998</v>
      </c>
      <c r="G67" s="3" t="s">
        <v>48</v>
      </c>
      <c r="H67" s="5">
        <v>46056</v>
      </c>
      <c r="I67" s="3" t="str">
        <f>TEXT(Table1[[#This Row],[Date]],"mmm")</f>
        <v>Feb</v>
      </c>
    </row>
    <row r="68" spans="1:9" x14ac:dyDescent="0.3">
      <c r="A68" s="3" t="s">
        <v>102</v>
      </c>
      <c r="B68" s="3" t="s">
        <v>8</v>
      </c>
      <c r="C68" s="3" t="s">
        <v>9</v>
      </c>
      <c r="D68" s="3">
        <v>3</v>
      </c>
      <c r="E68" s="4">
        <v>1784.6</v>
      </c>
      <c r="F68" s="4">
        <f t="shared" si="1"/>
        <v>5353.7999999999993</v>
      </c>
      <c r="G68" s="3" t="s">
        <v>18</v>
      </c>
      <c r="H68" s="5">
        <v>46025</v>
      </c>
      <c r="I68" s="3" t="str">
        <f>TEXT(Table1[[#This Row],[Date]],"mmm")</f>
        <v>Jan</v>
      </c>
    </row>
    <row r="69" spans="1:9" x14ac:dyDescent="0.3">
      <c r="A69" s="3" t="s">
        <v>103</v>
      </c>
      <c r="B69" s="3" t="s">
        <v>44</v>
      </c>
      <c r="C69" s="3" t="s">
        <v>39</v>
      </c>
      <c r="D69" s="3">
        <v>5</v>
      </c>
      <c r="E69" s="4">
        <v>3848.92</v>
      </c>
      <c r="F69" s="4">
        <f t="shared" si="1"/>
        <v>19244.599999999999</v>
      </c>
      <c r="G69" s="3" t="s">
        <v>18</v>
      </c>
      <c r="H69" s="5">
        <v>46041</v>
      </c>
      <c r="I69" s="3" t="str">
        <f>TEXT(Table1[[#This Row],[Date]],"mmm")</f>
        <v>Jan</v>
      </c>
    </row>
    <row r="70" spans="1:9" x14ac:dyDescent="0.3">
      <c r="A70" s="3" t="s">
        <v>104</v>
      </c>
      <c r="B70" s="3" t="s">
        <v>80</v>
      </c>
      <c r="C70" s="3" t="s">
        <v>39</v>
      </c>
      <c r="D70" s="3">
        <v>2</v>
      </c>
      <c r="E70" s="4">
        <v>4204.9399999999996</v>
      </c>
      <c r="F70" s="4">
        <f t="shared" si="1"/>
        <v>8409.8799999999992</v>
      </c>
      <c r="G70" s="3" t="s">
        <v>26</v>
      </c>
      <c r="H70" s="5">
        <v>46112</v>
      </c>
      <c r="I70" s="3" t="str">
        <f>TEXT(Table1[[#This Row],[Date]],"mmm")</f>
        <v>Mar</v>
      </c>
    </row>
    <row r="71" spans="1:9" x14ac:dyDescent="0.3">
      <c r="A71" s="3" t="s">
        <v>105</v>
      </c>
      <c r="B71" s="3" t="s">
        <v>31</v>
      </c>
      <c r="C71" s="3" t="s">
        <v>13</v>
      </c>
      <c r="D71" s="3">
        <v>2</v>
      </c>
      <c r="E71" s="4">
        <v>17530.3</v>
      </c>
      <c r="F71" s="4">
        <f t="shared" si="1"/>
        <v>35060.6</v>
      </c>
      <c r="G71" s="3" t="s">
        <v>26</v>
      </c>
      <c r="H71" s="5">
        <v>46135</v>
      </c>
      <c r="I71" s="3" t="str">
        <f>TEXT(Table1[[#This Row],[Date]],"mmm")</f>
        <v>Apr</v>
      </c>
    </row>
    <row r="72" spans="1:9" x14ac:dyDescent="0.3">
      <c r="A72" s="3" t="s">
        <v>106</v>
      </c>
      <c r="B72" s="3" t="s">
        <v>38</v>
      </c>
      <c r="C72" s="3" t="s">
        <v>39</v>
      </c>
      <c r="D72" s="3">
        <v>5</v>
      </c>
      <c r="E72" s="4">
        <v>6764.6</v>
      </c>
      <c r="F72" s="4">
        <f t="shared" si="1"/>
        <v>33823</v>
      </c>
      <c r="G72" s="3" t="s">
        <v>50</v>
      </c>
      <c r="H72" s="5">
        <v>46190</v>
      </c>
      <c r="I72" s="3" t="str">
        <f>TEXT(Table1[[#This Row],[Date]],"mmm")</f>
        <v>Jun</v>
      </c>
    </row>
    <row r="73" spans="1:9" x14ac:dyDescent="0.3">
      <c r="A73" s="3" t="s">
        <v>107</v>
      </c>
      <c r="B73" s="3" t="s">
        <v>80</v>
      </c>
      <c r="C73" s="3" t="s">
        <v>39</v>
      </c>
      <c r="D73" s="3">
        <v>1</v>
      </c>
      <c r="E73" s="4">
        <v>4341.01</v>
      </c>
      <c r="F73" s="4">
        <f t="shared" si="1"/>
        <v>4341.01</v>
      </c>
      <c r="G73" s="3" t="s">
        <v>14</v>
      </c>
      <c r="H73" s="5">
        <v>46099</v>
      </c>
      <c r="I73" s="3" t="str">
        <f>TEXT(Table1[[#This Row],[Date]],"mmm")</f>
        <v>Mar</v>
      </c>
    </row>
    <row r="74" spans="1:9" x14ac:dyDescent="0.3">
      <c r="A74" s="3" t="s">
        <v>108</v>
      </c>
      <c r="B74" s="3" t="s">
        <v>8</v>
      </c>
      <c r="C74" s="3" t="s">
        <v>9</v>
      </c>
      <c r="D74" s="3">
        <v>1</v>
      </c>
      <c r="E74" s="4">
        <v>1958.01</v>
      </c>
      <c r="F74" s="4">
        <f t="shared" si="1"/>
        <v>1958.01</v>
      </c>
      <c r="G74" s="3" t="s">
        <v>26</v>
      </c>
      <c r="H74" s="5">
        <v>46090</v>
      </c>
      <c r="I74" s="3" t="str">
        <f>TEXT(Table1[[#This Row],[Date]],"mmm")</f>
        <v>Mar</v>
      </c>
    </row>
    <row r="75" spans="1:9" x14ac:dyDescent="0.3">
      <c r="A75" s="3" t="s">
        <v>109</v>
      </c>
      <c r="B75" s="3" t="s">
        <v>31</v>
      </c>
      <c r="C75" s="3" t="s">
        <v>13</v>
      </c>
      <c r="D75" s="3">
        <v>1</v>
      </c>
      <c r="E75" s="4">
        <v>18872.7</v>
      </c>
      <c r="F75" s="4">
        <f t="shared" si="1"/>
        <v>18872.7</v>
      </c>
      <c r="G75" s="3" t="s">
        <v>26</v>
      </c>
      <c r="H75" s="5">
        <v>46092</v>
      </c>
      <c r="I75" s="3" t="str">
        <f>TEXT(Table1[[#This Row],[Date]],"mmm")</f>
        <v>Mar</v>
      </c>
    </row>
    <row r="76" spans="1:9" x14ac:dyDescent="0.3">
      <c r="A76" s="3" t="s">
        <v>110</v>
      </c>
      <c r="B76" s="3" t="s">
        <v>24</v>
      </c>
      <c r="C76" s="3" t="s">
        <v>25</v>
      </c>
      <c r="D76" s="3">
        <v>5</v>
      </c>
      <c r="E76" s="4">
        <v>752.76</v>
      </c>
      <c r="F76" s="4">
        <f t="shared" si="1"/>
        <v>3763.8</v>
      </c>
      <c r="G76" s="3" t="s">
        <v>32</v>
      </c>
      <c r="H76" s="5">
        <v>46075</v>
      </c>
      <c r="I76" s="3" t="str">
        <f>TEXT(Table1[[#This Row],[Date]],"mmm")</f>
        <v>Feb</v>
      </c>
    </row>
    <row r="77" spans="1:9" x14ac:dyDescent="0.3">
      <c r="A77" s="3" t="s">
        <v>111</v>
      </c>
      <c r="B77" s="3" t="s">
        <v>8</v>
      </c>
      <c r="C77" s="3" t="s">
        <v>9</v>
      </c>
      <c r="D77" s="3">
        <v>3</v>
      </c>
      <c r="E77" s="4">
        <v>1801.95</v>
      </c>
      <c r="F77" s="4">
        <f t="shared" si="1"/>
        <v>5405.85</v>
      </c>
      <c r="G77" s="3" t="s">
        <v>10</v>
      </c>
      <c r="H77" s="5">
        <v>46036</v>
      </c>
      <c r="I77" s="3" t="str">
        <f>TEXT(Table1[[#This Row],[Date]],"mmm")</f>
        <v>Jan</v>
      </c>
    </row>
    <row r="78" spans="1:9" x14ac:dyDescent="0.3">
      <c r="A78" s="3" t="s">
        <v>112</v>
      </c>
      <c r="B78" s="3" t="s">
        <v>31</v>
      </c>
      <c r="C78" s="3" t="s">
        <v>13</v>
      </c>
      <c r="D78" s="3">
        <v>4</v>
      </c>
      <c r="E78" s="4">
        <v>19185.650000000001</v>
      </c>
      <c r="F78" s="4">
        <f t="shared" si="1"/>
        <v>76742.600000000006</v>
      </c>
      <c r="G78" s="3" t="s">
        <v>46</v>
      </c>
      <c r="H78" s="5">
        <v>46023</v>
      </c>
      <c r="I78" s="3" t="str">
        <f>TEXT(Table1[[#This Row],[Date]],"mmm")</f>
        <v>Jan</v>
      </c>
    </row>
    <row r="79" spans="1:9" x14ac:dyDescent="0.3">
      <c r="A79" s="3" t="s">
        <v>113</v>
      </c>
      <c r="B79" s="3" t="s">
        <v>55</v>
      </c>
      <c r="C79" s="3" t="s">
        <v>25</v>
      </c>
      <c r="D79" s="3">
        <v>2</v>
      </c>
      <c r="E79" s="4">
        <v>2567.5300000000002</v>
      </c>
      <c r="F79" s="4">
        <f t="shared" si="1"/>
        <v>5135.0600000000004</v>
      </c>
      <c r="G79" s="3" t="s">
        <v>10</v>
      </c>
      <c r="H79" s="5">
        <v>46064</v>
      </c>
      <c r="I79" s="3" t="str">
        <f>TEXT(Table1[[#This Row],[Date]],"mmm")</f>
        <v>Feb</v>
      </c>
    </row>
    <row r="80" spans="1:9" x14ac:dyDescent="0.3">
      <c r="A80" s="3" t="s">
        <v>114</v>
      </c>
      <c r="B80" s="3" t="s">
        <v>21</v>
      </c>
      <c r="C80" s="3" t="s">
        <v>13</v>
      </c>
      <c r="D80" s="3">
        <v>4</v>
      </c>
      <c r="E80" s="4">
        <v>28289.41</v>
      </c>
      <c r="F80" s="4">
        <f t="shared" si="1"/>
        <v>113157.64</v>
      </c>
      <c r="G80" s="3" t="s">
        <v>48</v>
      </c>
      <c r="H80" s="5">
        <v>46166</v>
      </c>
      <c r="I80" s="3" t="str">
        <f>TEXT(Table1[[#This Row],[Date]],"mmm")</f>
        <v>May</v>
      </c>
    </row>
    <row r="81" spans="1:9" x14ac:dyDescent="0.3">
      <c r="A81" s="3" t="s">
        <v>115</v>
      </c>
      <c r="B81" s="3" t="s">
        <v>91</v>
      </c>
      <c r="C81" s="3" t="s">
        <v>13</v>
      </c>
      <c r="D81" s="3">
        <v>1</v>
      </c>
      <c r="E81" s="4">
        <v>50327.68</v>
      </c>
      <c r="F81" s="4">
        <f t="shared" si="1"/>
        <v>50327.68</v>
      </c>
      <c r="G81" s="3" t="s">
        <v>26</v>
      </c>
      <c r="H81" s="5">
        <v>46162</v>
      </c>
      <c r="I81" s="3" t="str">
        <f>TEXT(Table1[[#This Row],[Date]],"mmm")</f>
        <v>May</v>
      </c>
    </row>
    <row r="82" spans="1:9" x14ac:dyDescent="0.3">
      <c r="A82" s="3" t="s">
        <v>116</v>
      </c>
      <c r="B82" s="3" t="s">
        <v>91</v>
      </c>
      <c r="C82" s="3" t="s">
        <v>13</v>
      </c>
      <c r="D82" s="3">
        <v>3</v>
      </c>
      <c r="E82" s="4">
        <v>55907.61</v>
      </c>
      <c r="F82" s="4">
        <f t="shared" si="1"/>
        <v>167722.83000000002</v>
      </c>
      <c r="G82" s="3" t="s">
        <v>26</v>
      </c>
      <c r="H82" s="5">
        <v>46133</v>
      </c>
      <c r="I82" s="3" t="str">
        <f>TEXT(Table1[[#This Row],[Date]],"mmm")</f>
        <v>Apr</v>
      </c>
    </row>
    <row r="83" spans="1:9" x14ac:dyDescent="0.3">
      <c r="A83" s="3" t="s">
        <v>117</v>
      </c>
      <c r="B83" s="3" t="s">
        <v>72</v>
      </c>
      <c r="C83" s="3" t="s">
        <v>13</v>
      </c>
      <c r="D83" s="3">
        <v>1</v>
      </c>
      <c r="E83" s="4">
        <v>2115.63</v>
      </c>
      <c r="F83" s="4">
        <f t="shared" si="1"/>
        <v>2115.63</v>
      </c>
      <c r="G83" s="3" t="s">
        <v>46</v>
      </c>
      <c r="H83" s="5">
        <v>46114</v>
      </c>
      <c r="I83" s="3" t="str">
        <f>TEXT(Table1[[#This Row],[Date]],"mmm")</f>
        <v>Apr</v>
      </c>
    </row>
    <row r="84" spans="1:9" x14ac:dyDescent="0.3">
      <c r="A84" s="3" t="s">
        <v>118</v>
      </c>
      <c r="B84" s="3" t="s">
        <v>12</v>
      </c>
      <c r="C84" s="3" t="s">
        <v>13</v>
      </c>
      <c r="D84" s="3">
        <v>2</v>
      </c>
      <c r="E84" s="4">
        <v>1550.08</v>
      </c>
      <c r="F84" s="4">
        <f t="shared" si="1"/>
        <v>3100.16</v>
      </c>
      <c r="G84" s="3" t="s">
        <v>32</v>
      </c>
      <c r="H84" s="5">
        <v>46166</v>
      </c>
      <c r="I84" s="3" t="str">
        <f>TEXT(Table1[[#This Row],[Date]],"mmm")</f>
        <v>May</v>
      </c>
    </row>
    <row r="85" spans="1:9" x14ac:dyDescent="0.3">
      <c r="A85" s="3" t="s">
        <v>119</v>
      </c>
      <c r="B85" s="3" t="s">
        <v>38</v>
      </c>
      <c r="C85" s="3" t="s">
        <v>39</v>
      </c>
      <c r="D85" s="3">
        <v>4</v>
      </c>
      <c r="E85" s="4">
        <v>7115.99</v>
      </c>
      <c r="F85" s="4">
        <f t="shared" si="1"/>
        <v>28463.96</v>
      </c>
      <c r="G85" s="3" t="s">
        <v>26</v>
      </c>
      <c r="H85" s="5">
        <v>46083</v>
      </c>
      <c r="I85" s="3" t="str">
        <f>TEXT(Table1[[#This Row],[Date]],"mmm")</f>
        <v>Mar</v>
      </c>
    </row>
    <row r="86" spans="1:9" x14ac:dyDescent="0.3">
      <c r="A86" s="3" t="s">
        <v>120</v>
      </c>
      <c r="B86" s="3" t="s">
        <v>38</v>
      </c>
      <c r="C86" s="3" t="s">
        <v>39</v>
      </c>
      <c r="D86" s="3">
        <v>2</v>
      </c>
      <c r="E86" s="4">
        <v>7119.07</v>
      </c>
      <c r="F86" s="4">
        <f t="shared" si="1"/>
        <v>14238.14</v>
      </c>
      <c r="G86" s="3" t="s">
        <v>26</v>
      </c>
      <c r="H86" s="5">
        <v>46128</v>
      </c>
      <c r="I86" s="3" t="str">
        <f>TEXT(Table1[[#This Row],[Date]],"mmm")</f>
        <v>Apr</v>
      </c>
    </row>
    <row r="87" spans="1:9" x14ac:dyDescent="0.3">
      <c r="A87" s="3" t="s">
        <v>121</v>
      </c>
      <c r="B87" s="3" t="s">
        <v>91</v>
      </c>
      <c r="C87" s="3" t="s">
        <v>13</v>
      </c>
      <c r="D87" s="3">
        <v>2</v>
      </c>
      <c r="E87" s="4">
        <v>57602.21</v>
      </c>
      <c r="F87" s="4">
        <f t="shared" si="1"/>
        <v>115204.42</v>
      </c>
      <c r="G87" s="3" t="s">
        <v>32</v>
      </c>
      <c r="H87" s="5">
        <v>46128</v>
      </c>
      <c r="I87" s="3" t="str">
        <f>TEXT(Table1[[#This Row],[Date]],"mmm")</f>
        <v>Apr</v>
      </c>
    </row>
    <row r="88" spans="1:9" x14ac:dyDescent="0.3">
      <c r="A88" s="3" t="s">
        <v>122</v>
      </c>
      <c r="B88" s="3" t="s">
        <v>62</v>
      </c>
      <c r="C88" s="3" t="s">
        <v>25</v>
      </c>
      <c r="D88" s="3">
        <v>2</v>
      </c>
      <c r="E88" s="4">
        <v>1905.77</v>
      </c>
      <c r="F88" s="4">
        <f t="shared" si="1"/>
        <v>3811.54</v>
      </c>
      <c r="G88" s="3" t="s">
        <v>18</v>
      </c>
      <c r="H88" s="5">
        <v>46120</v>
      </c>
      <c r="I88" s="3" t="str">
        <f>TEXT(Table1[[#This Row],[Date]],"mmm")</f>
        <v>Apr</v>
      </c>
    </row>
    <row r="89" spans="1:9" x14ac:dyDescent="0.3">
      <c r="A89" s="3" t="s">
        <v>123</v>
      </c>
      <c r="B89" s="3" t="s">
        <v>38</v>
      </c>
      <c r="C89" s="3" t="s">
        <v>39</v>
      </c>
      <c r="D89" s="3">
        <v>1</v>
      </c>
      <c r="E89" s="4">
        <v>6966.17</v>
      </c>
      <c r="F89" s="4">
        <f t="shared" si="1"/>
        <v>6966.17</v>
      </c>
      <c r="G89" s="3" t="s">
        <v>29</v>
      </c>
      <c r="H89" s="5">
        <v>46074</v>
      </c>
      <c r="I89" s="3" t="str">
        <f>TEXT(Table1[[#This Row],[Date]],"mmm")</f>
        <v>Feb</v>
      </c>
    </row>
    <row r="90" spans="1:9" x14ac:dyDescent="0.3">
      <c r="A90" s="3" t="s">
        <v>124</v>
      </c>
      <c r="B90" s="3" t="s">
        <v>38</v>
      </c>
      <c r="C90" s="3" t="s">
        <v>39</v>
      </c>
      <c r="D90" s="3">
        <v>4</v>
      </c>
      <c r="E90" s="4">
        <v>6304.56</v>
      </c>
      <c r="F90" s="4">
        <f t="shared" si="1"/>
        <v>25218.240000000002</v>
      </c>
      <c r="G90" s="3" t="s">
        <v>29</v>
      </c>
      <c r="H90" s="5">
        <v>46080</v>
      </c>
      <c r="I90" s="3" t="str">
        <f>TEXT(Table1[[#This Row],[Date]],"mmm")</f>
        <v>Feb</v>
      </c>
    </row>
    <row r="91" spans="1:9" x14ac:dyDescent="0.3">
      <c r="A91" s="3" t="s">
        <v>125</v>
      </c>
      <c r="B91" s="3" t="s">
        <v>91</v>
      </c>
      <c r="C91" s="3" t="s">
        <v>13</v>
      </c>
      <c r="D91" s="3">
        <v>2</v>
      </c>
      <c r="E91" s="4">
        <v>53883.13</v>
      </c>
      <c r="F91" s="4">
        <f t="shared" si="1"/>
        <v>107766.26</v>
      </c>
      <c r="G91" s="3" t="s">
        <v>10</v>
      </c>
      <c r="H91" s="5">
        <v>46040</v>
      </c>
      <c r="I91" s="3" t="str">
        <f>TEXT(Table1[[#This Row],[Date]],"mmm")</f>
        <v>Jan</v>
      </c>
    </row>
    <row r="92" spans="1:9" x14ac:dyDescent="0.3">
      <c r="A92" s="3" t="s">
        <v>126</v>
      </c>
      <c r="B92" s="3" t="s">
        <v>62</v>
      </c>
      <c r="C92" s="3" t="s">
        <v>25</v>
      </c>
      <c r="D92" s="3">
        <v>3</v>
      </c>
      <c r="E92" s="4">
        <v>1939.49</v>
      </c>
      <c r="F92" s="4">
        <f t="shared" si="1"/>
        <v>5818.47</v>
      </c>
      <c r="G92" s="3" t="s">
        <v>14</v>
      </c>
      <c r="H92" s="5">
        <v>46125</v>
      </c>
      <c r="I92" s="3" t="str">
        <f>TEXT(Table1[[#This Row],[Date]],"mmm")</f>
        <v>Apr</v>
      </c>
    </row>
    <row r="93" spans="1:9" x14ac:dyDescent="0.3">
      <c r="A93" s="3" t="s">
        <v>127</v>
      </c>
      <c r="B93" s="3" t="s">
        <v>8</v>
      </c>
      <c r="C93" s="3" t="s">
        <v>9</v>
      </c>
      <c r="D93" s="3">
        <v>5</v>
      </c>
      <c r="E93" s="4">
        <v>1739.21</v>
      </c>
      <c r="F93" s="4">
        <f t="shared" si="1"/>
        <v>8696.0499999999993</v>
      </c>
      <c r="G93" s="3" t="s">
        <v>46</v>
      </c>
      <c r="H93" s="5">
        <v>46052</v>
      </c>
      <c r="I93" s="3" t="str">
        <f>TEXT(Table1[[#This Row],[Date]],"mmm")</f>
        <v>Jan</v>
      </c>
    </row>
    <row r="94" spans="1:9" x14ac:dyDescent="0.3">
      <c r="A94" s="3" t="s">
        <v>128</v>
      </c>
      <c r="B94" s="3" t="s">
        <v>24</v>
      </c>
      <c r="C94" s="3" t="s">
        <v>25</v>
      </c>
      <c r="D94" s="3">
        <v>2</v>
      </c>
      <c r="E94" s="4">
        <v>811.88</v>
      </c>
      <c r="F94" s="4">
        <f t="shared" si="1"/>
        <v>1623.76</v>
      </c>
      <c r="G94" s="3" t="s">
        <v>10</v>
      </c>
      <c r="H94" s="5">
        <v>46032</v>
      </c>
      <c r="I94" s="3" t="str">
        <f>TEXT(Table1[[#This Row],[Date]],"mmm")</f>
        <v>Jan</v>
      </c>
    </row>
    <row r="95" spans="1:9" x14ac:dyDescent="0.3">
      <c r="A95" s="3" t="s">
        <v>129</v>
      </c>
      <c r="B95" s="3" t="s">
        <v>31</v>
      </c>
      <c r="C95" s="3" t="s">
        <v>13</v>
      </c>
      <c r="D95" s="3">
        <v>5</v>
      </c>
      <c r="E95" s="4">
        <v>17764.43</v>
      </c>
      <c r="F95" s="4">
        <f t="shared" si="1"/>
        <v>88822.15</v>
      </c>
      <c r="G95" s="3" t="s">
        <v>32</v>
      </c>
      <c r="H95" s="5">
        <v>46134</v>
      </c>
      <c r="I95" s="3" t="str">
        <f>TEXT(Table1[[#This Row],[Date]],"mmm")</f>
        <v>Apr</v>
      </c>
    </row>
    <row r="96" spans="1:9" x14ac:dyDescent="0.3">
      <c r="A96" s="3" t="s">
        <v>130</v>
      </c>
      <c r="B96" s="3" t="s">
        <v>16</v>
      </c>
      <c r="C96" s="3" t="s">
        <v>17</v>
      </c>
      <c r="D96" s="3">
        <v>5</v>
      </c>
      <c r="E96" s="4">
        <v>415.41</v>
      </c>
      <c r="F96" s="4">
        <f t="shared" si="1"/>
        <v>2077.0500000000002</v>
      </c>
      <c r="G96" s="3" t="s">
        <v>50</v>
      </c>
      <c r="H96" s="5">
        <v>46071</v>
      </c>
      <c r="I96" s="3" t="str">
        <f>TEXT(Table1[[#This Row],[Date]],"mmm")</f>
        <v>Feb</v>
      </c>
    </row>
    <row r="97" spans="1:9" x14ac:dyDescent="0.3">
      <c r="A97" s="3" t="s">
        <v>131</v>
      </c>
      <c r="B97" s="3" t="s">
        <v>24</v>
      </c>
      <c r="C97" s="3" t="s">
        <v>25</v>
      </c>
      <c r="D97" s="3">
        <v>1</v>
      </c>
      <c r="E97" s="4">
        <v>832.36</v>
      </c>
      <c r="F97" s="4">
        <f t="shared" si="1"/>
        <v>832.36</v>
      </c>
      <c r="G97" s="3" t="s">
        <v>46</v>
      </c>
      <c r="H97" s="5">
        <v>46156</v>
      </c>
      <c r="I97" s="3" t="str">
        <f>TEXT(Table1[[#This Row],[Date]],"mmm")</f>
        <v>May</v>
      </c>
    </row>
    <row r="98" spans="1:9" x14ac:dyDescent="0.3">
      <c r="A98" s="3" t="s">
        <v>132</v>
      </c>
      <c r="B98" s="3" t="s">
        <v>62</v>
      </c>
      <c r="C98" s="3" t="s">
        <v>25</v>
      </c>
      <c r="D98" s="3">
        <v>5</v>
      </c>
      <c r="E98" s="4">
        <v>2073.71</v>
      </c>
      <c r="F98" s="4">
        <f t="shared" si="1"/>
        <v>10368.549999999999</v>
      </c>
      <c r="G98" s="3" t="s">
        <v>29</v>
      </c>
      <c r="H98" s="5">
        <v>46116</v>
      </c>
      <c r="I98" s="3" t="str">
        <f>TEXT(Table1[[#This Row],[Date]],"mmm")</f>
        <v>Apr</v>
      </c>
    </row>
    <row r="99" spans="1:9" x14ac:dyDescent="0.3">
      <c r="A99" s="3" t="s">
        <v>133</v>
      </c>
      <c r="B99" s="3" t="s">
        <v>28</v>
      </c>
      <c r="C99" s="3" t="s">
        <v>9</v>
      </c>
      <c r="D99" s="3">
        <v>1</v>
      </c>
      <c r="E99" s="4">
        <v>5447.78</v>
      </c>
      <c r="F99" s="4">
        <f t="shared" si="1"/>
        <v>5447.78</v>
      </c>
      <c r="G99" s="3" t="s">
        <v>32</v>
      </c>
      <c r="H99" s="5">
        <v>46182</v>
      </c>
      <c r="I99" s="3" t="str">
        <f>TEXT(Table1[[#This Row],[Date]],"mmm")</f>
        <v>Jun</v>
      </c>
    </row>
    <row r="100" spans="1:9" x14ac:dyDescent="0.3">
      <c r="A100" s="3" t="s">
        <v>134</v>
      </c>
      <c r="B100" s="3" t="s">
        <v>55</v>
      </c>
      <c r="C100" s="3" t="s">
        <v>25</v>
      </c>
      <c r="D100" s="3">
        <v>1</v>
      </c>
      <c r="E100" s="4">
        <v>2608.83</v>
      </c>
      <c r="F100" s="4">
        <f t="shared" si="1"/>
        <v>2608.83</v>
      </c>
      <c r="G100" s="3" t="s">
        <v>10</v>
      </c>
      <c r="H100" s="5">
        <v>46152</v>
      </c>
      <c r="I100" s="3" t="str">
        <f>TEXT(Table1[[#This Row],[Date]],"mmm")</f>
        <v>May</v>
      </c>
    </row>
    <row r="101" spans="1:9" x14ac:dyDescent="0.3">
      <c r="A101" s="3" t="s">
        <v>135</v>
      </c>
      <c r="B101" s="3" t="s">
        <v>24</v>
      </c>
      <c r="C101" s="3" t="s">
        <v>25</v>
      </c>
      <c r="D101" s="3">
        <v>4</v>
      </c>
      <c r="E101" s="4">
        <v>771.22</v>
      </c>
      <c r="F101" s="4">
        <f t="shared" si="1"/>
        <v>3084.88</v>
      </c>
      <c r="G101" s="3" t="s">
        <v>10</v>
      </c>
      <c r="H101" s="5">
        <v>46164</v>
      </c>
      <c r="I101" s="3" t="str">
        <f>TEXT(Table1[[#This Row],[Date]],"mmm")</f>
        <v>May</v>
      </c>
    </row>
    <row r="102" spans="1:9" x14ac:dyDescent="0.3">
      <c r="A102" s="3" t="s">
        <v>136</v>
      </c>
      <c r="B102" s="3" t="s">
        <v>72</v>
      </c>
      <c r="C102" s="3" t="s">
        <v>13</v>
      </c>
      <c r="D102" s="3">
        <v>2</v>
      </c>
      <c r="E102" s="4">
        <v>2165</v>
      </c>
      <c r="F102" s="4">
        <f t="shared" si="1"/>
        <v>4330</v>
      </c>
      <c r="G102" s="3" t="s">
        <v>48</v>
      </c>
      <c r="H102" s="5">
        <v>46196</v>
      </c>
      <c r="I102" s="3" t="str">
        <f>TEXT(Table1[[#This Row],[Date]],"mmm")</f>
        <v>Jun</v>
      </c>
    </row>
    <row r="103" spans="1:9" x14ac:dyDescent="0.3">
      <c r="A103" s="3" t="s">
        <v>137</v>
      </c>
      <c r="B103" s="3" t="s">
        <v>21</v>
      </c>
      <c r="C103" s="3" t="s">
        <v>13</v>
      </c>
      <c r="D103" s="3">
        <v>2</v>
      </c>
      <c r="E103" s="4">
        <v>28646.880000000001</v>
      </c>
      <c r="F103" s="4">
        <f t="shared" si="1"/>
        <v>57293.760000000002</v>
      </c>
      <c r="G103" s="3" t="s">
        <v>10</v>
      </c>
      <c r="H103" s="5">
        <v>46126</v>
      </c>
      <c r="I103" s="3" t="str">
        <f>TEXT(Table1[[#This Row],[Date]],"mmm")</f>
        <v>Apr</v>
      </c>
    </row>
    <row r="104" spans="1:9" x14ac:dyDescent="0.3">
      <c r="A104" s="3" t="s">
        <v>138</v>
      </c>
      <c r="B104" s="3" t="s">
        <v>80</v>
      </c>
      <c r="C104" s="3" t="s">
        <v>39</v>
      </c>
      <c r="D104" s="3">
        <v>1</v>
      </c>
      <c r="E104" s="4">
        <v>4035.25</v>
      </c>
      <c r="F104" s="4">
        <f t="shared" si="1"/>
        <v>4035.25</v>
      </c>
      <c r="G104" s="3" t="s">
        <v>29</v>
      </c>
      <c r="H104" s="5">
        <v>46133</v>
      </c>
      <c r="I104" s="3" t="str">
        <f>TEXT(Table1[[#This Row],[Date]],"mmm")</f>
        <v>Apr</v>
      </c>
    </row>
    <row r="105" spans="1:9" x14ac:dyDescent="0.3">
      <c r="A105" s="3" t="s">
        <v>139</v>
      </c>
      <c r="B105" s="3" t="s">
        <v>62</v>
      </c>
      <c r="C105" s="3" t="s">
        <v>25</v>
      </c>
      <c r="D105" s="3">
        <v>5</v>
      </c>
      <c r="E105" s="4">
        <v>2041.64</v>
      </c>
      <c r="F105" s="4">
        <f t="shared" si="1"/>
        <v>10208.200000000001</v>
      </c>
      <c r="G105" s="3" t="s">
        <v>32</v>
      </c>
      <c r="H105" s="5">
        <v>46142</v>
      </c>
      <c r="I105" s="3" t="str">
        <f>TEXT(Table1[[#This Row],[Date]],"mmm")</f>
        <v>Apr</v>
      </c>
    </row>
    <row r="106" spans="1:9" x14ac:dyDescent="0.3">
      <c r="A106" s="3" t="s">
        <v>140</v>
      </c>
      <c r="B106" s="3" t="s">
        <v>44</v>
      </c>
      <c r="C106" s="3" t="s">
        <v>39</v>
      </c>
      <c r="D106" s="3">
        <v>4</v>
      </c>
      <c r="E106" s="4">
        <v>3622.94</v>
      </c>
      <c r="F106" s="4">
        <f t="shared" si="1"/>
        <v>14491.76</v>
      </c>
      <c r="G106" s="3" t="s">
        <v>14</v>
      </c>
      <c r="H106" s="5">
        <v>46144</v>
      </c>
      <c r="I106" s="3" t="str">
        <f>TEXT(Table1[[#This Row],[Date]],"mmm")</f>
        <v>May</v>
      </c>
    </row>
    <row r="107" spans="1:9" x14ac:dyDescent="0.3">
      <c r="A107" s="3" t="s">
        <v>141</v>
      </c>
      <c r="B107" s="3" t="s">
        <v>62</v>
      </c>
      <c r="C107" s="3" t="s">
        <v>25</v>
      </c>
      <c r="D107" s="3">
        <v>2</v>
      </c>
      <c r="E107" s="4">
        <v>2062.5100000000002</v>
      </c>
      <c r="F107" s="4">
        <f t="shared" si="1"/>
        <v>4125.0200000000004</v>
      </c>
      <c r="G107" s="3" t="s">
        <v>10</v>
      </c>
      <c r="H107" s="5">
        <v>46154</v>
      </c>
      <c r="I107" s="3" t="str">
        <f>TEXT(Table1[[#This Row],[Date]],"mmm")</f>
        <v>May</v>
      </c>
    </row>
    <row r="108" spans="1:9" x14ac:dyDescent="0.3">
      <c r="A108" s="3" t="s">
        <v>142</v>
      </c>
      <c r="B108" s="3" t="s">
        <v>8</v>
      </c>
      <c r="C108" s="3" t="s">
        <v>9</v>
      </c>
      <c r="D108" s="3">
        <v>5</v>
      </c>
      <c r="E108" s="4">
        <v>1740.67</v>
      </c>
      <c r="F108" s="4">
        <f t="shared" si="1"/>
        <v>8703.35</v>
      </c>
      <c r="G108" s="3" t="s">
        <v>29</v>
      </c>
      <c r="H108" s="5">
        <v>46195</v>
      </c>
      <c r="I108" s="3" t="str">
        <f>TEXT(Table1[[#This Row],[Date]],"mmm")</f>
        <v>Jun</v>
      </c>
    </row>
    <row r="109" spans="1:9" x14ac:dyDescent="0.3">
      <c r="A109" s="3" t="s">
        <v>143</v>
      </c>
      <c r="B109" s="3" t="s">
        <v>24</v>
      </c>
      <c r="C109" s="3" t="s">
        <v>25</v>
      </c>
      <c r="D109" s="3">
        <v>2</v>
      </c>
      <c r="E109" s="4">
        <v>847.99</v>
      </c>
      <c r="F109" s="4">
        <f t="shared" si="1"/>
        <v>1695.98</v>
      </c>
      <c r="G109" s="3" t="s">
        <v>26</v>
      </c>
      <c r="H109" s="5">
        <v>46029</v>
      </c>
      <c r="I109" s="3" t="str">
        <f>TEXT(Table1[[#This Row],[Date]],"mmm")</f>
        <v>Jan</v>
      </c>
    </row>
    <row r="110" spans="1:9" x14ac:dyDescent="0.3">
      <c r="A110" s="3" t="s">
        <v>144</v>
      </c>
      <c r="B110" s="3" t="s">
        <v>91</v>
      </c>
      <c r="C110" s="3" t="s">
        <v>13</v>
      </c>
      <c r="D110" s="3">
        <v>2</v>
      </c>
      <c r="E110" s="4">
        <v>60323.3</v>
      </c>
      <c r="F110" s="4">
        <f t="shared" si="1"/>
        <v>120646.6</v>
      </c>
      <c r="G110" s="3" t="s">
        <v>50</v>
      </c>
      <c r="H110" s="5">
        <v>46041</v>
      </c>
      <c r="I110" s="3" t="str">
        <f>TEXT(Table1[[#This Row],[Date]],"mmm")</f>
        <v>Jan</v>
      </c>
    </row>
    <row r="111" spans="1:9" x14ac:dyDescent="0.3">
      <c r="A111" s="3" t="s">
        <v>145</v>
      </c>
      <c r="B111" s="3" t="s">
        <v>44</v>
      </c>
      <c r="C111" s="3" t="s">
        <v>39</v>
      </c>
      <c r="D111" s="3">
        <v>4</v>
      </c>
      <c r="E111" s="4">
        <v>3770.3</v>
      </c>
      <c r="F111" s="4">
        <f t="shared" si="1"/>
        <v>15081.2</v>
      </c>
      <c r="G111" s="3" t="s">
        <v>50</v>
      </c>
      <c r="H111" s="5">
        <v>46072</v>
      </c>
      <c r="I111" s="3" t="str">
        <f>TEXT(Table1[[#This Row],[Date]],"mmm")</f>
        <v>Feb</v>
      </c>
    </row>
    <row r="112" spans="1:9" x14ac:dyDescent="0.3">
      <c r="A112" s="3" t="s">
        <v>146</v>
      </c>
      <c r="B112" s="3" t="s">
        <v>21</v>
      </c>
      <c r="C112" s="3" t="s">
        <v>13</v>
      </c>
      <c r="D112" s="3">
        <v>4</v>
      </c>
      <c r="E112" s="4">
        <v>27968.51</v>
      </c>
      <c r="F112" s="4">
        <f t="shared" si="1"/>
        <v>111874.04</v>
      </c>
      <c r="G112" s="3" t="s">
        <v>29</v>
      </c>
      <c r="H112" s="5">
        <v>46060</v>
      </c>
      <c r="I112" s="3" t="str">
        <f>TEXT(Table1[[#This Row],[Date]],"mmm")</f>
        <v>Feb</v>
      </c>
    </row>
    <row r="113" spans="1:9" x14ac:dyDescent="0.3">
      <c r="A113" s="3" t="s">
        <v>147</v>
      </c>
      <c r="B113" s="3" t="s">
        <v>8</v>
      </c>
      <c r="C113" s="3" t="s">
        <v>9</v>
      </c>
      <c r="D113" s="3">
        <v>1</v>
      </c>
      <c r="E113" s="4">
        <v>1941.36</v>
      </c>
      <c r="F113" s="4">
        <f t="shared" si="1"/>
        <v>1941.36</v>
      </c>
      <c r="G113" s="3" t="s">
        <v>18</v>
      </c>
      <c r="H113" s="5">
        <v>46131</v>
      </c>
      <c r="I113" s="3" t="str">
        <f>TEXT(Table1[[#This Row],[Date]],"mmm")</f>
        <v>Apr</v>
      </c>
    </row>
    <row r="114" spans="1:9" x14ac:dyDescent="0.3">
      <c r="A114" s="3" t="s">
        <v>148</v>
      </c>
      <c r="B114" s="3" t="s">
        <v>12</v>
      </c>
      <c r="C114" s="3" t="s">
        <v>13</v>
      </c>
      <c r="D114" s="3">
        <v>2</v>
      </c>
      <c r="E114" s="4">
        <v>1591.23</v>
      </c>
      <c r="F114" s="4">
        <f t="shared" si="1"/>
        <v>3182.46</v>
      </c>
      <c r="G114" s="3" t="s">
        <v>14</v>
      </c>
      <c r="H114" s="5">
        <v>46141</v>
      </c>
      <c r="I114" s="3" t="str">
        <f>TEXT(Table1[[#This Row],[Date]],"mmm")</f>
        <v>Apr</v>
      </c>
    </row>
    <row r="115" spans="1:9" x14ac:dyDescent="0.3">
      <c r="A115" s="3" t="s">
        <v>149</v>
      </c>
      <c r="B115" s="3" t="s">
        <v>91</v>
      </c>
      <c r="C115" s="3" t="s">
        <v>13</v>
      </c>
      <c r="D115" s="3">
        <v>5</v>
      </c>
      <c r="E115" s="4">
        <v>52241.18</v>
      </c>
      <c r="F115" s="4">
        <f t="shared" si="1"/>
        <v>261205.9</v>
      </c>
      <c r="G115" s="3" t="s">
        <v>18</v>
      </c>
      <c r="H115" s="5">
        <v>46139</v>
      </c>
      <c r="I115" s="3" t="str">
        <f>TEXT(Table1[[#This Row],[Date]],"mmm")</f>
        <v>Apr</v>
      </c>
    </row>
    <row r="116" spans="1:9" x14ac:dyDescent="0.3">
      <c r="A116" s="3" t="s">
        <v>150</v>
      </c>
      <c r="B116" s="3" t="s">
        <v>72</v>
      </c>
      <c r="C116" s="3" t="s">
        <v>13</v>
      </c>
      <c r="D116" s="3">
        <v>4</v>
      </c>
      <c r="E116" s="4">
        <v>2273.73</v>
      </c>
      <c r="F116" s="4">
        <f t="shared" si="1"/>
        <v>9094.92</v>
      </c>
      <c r="G116" s="3" t="s">
        <v>14</v>
      </c>
      <c r="H116" s="5">
        <v>46175</v>
      </c>
      <c r="I116" s="3" t="str">
        <f>TEXT(Table1[[#This Row],[Date]],"mmm")</f>
        <v>Jun</v>
      </c>
    </row>
    <row r="117" spans="1:9" x14ac:dyDescent="0.3">
      <c r="A117" s="3" t="s">
        <v>151</v>
      </c>
      <c r="B117" s="3" t="s">
        <v>55</v>
      </c>
      <c r="C117" s="3" t="s">
        <v>25</v>
      </c>
      <c r="D117" s="3">
        <v>4</v>
      </c>
      <c r="E117" s="4">
        <v>2555.3000000000002</v>
      </c>
      <c r="F117" s="4">
        <f t="shared" si="1"/>
        <v>10221.200000000001</v>
      </c>
      <c r="G117" s="3" t="s">
        <v>14</v>
      </c>
      <c r="H117" s="5">
        <v>46132</v>
      </c>
      <c r="I117" s="3" t="str">
        <f>TEXT(Table1[[#This Row],[Date]],"mmm")</f>
        <v>Apr</v>
      </c>
    </row>
    <row r="118" spans="1:9" x14ac:dyDescent="0.3">
      <c r="A118" s="3" t="s">
        <v>152</v>
      </c>
      <c r="B118" s="3" t="s">
        <v>38</v>
      </c>
      <c r="C118" s="3" t="s">
        <v>39</v>
      </c>
      <c r="D118" s="3">
        <v>5</v>
      </c>
      <c r="E118" s="4">
        <v>6429.69</v>
      </c>
      <c r="F118" s="4">
        <f t="shared" si="1"/>
        <v>32148.449999999997</v>
      </c>
      <c r="G118" s="3" t="s">
        <v>26</v>
      </c>
      <c r="H118" s="5">
        <v>46144</v>
      </c>
      <c r="I118" s="3" t="str">
        <f>TEXT(Table1[[#This Row],[Date]],"mmm")</f>
        <v>May</v>
      </c>
    </row>
    <row r="119" spans="1:9" x14ac:dyDescent="0.3">
      <c r="A119" s="3" t="s">
        <v>153</v>
      </c>
      <c r="B119" s="3" t="s">
        <v>44</v>
      </c>
      <c r="C119" s="3" t="s">
        <v>39</v>
      </c>
      <c r="D119" s="3">
        <v>3</v>
      </c>
      <c r="E119" s="4">
        <v>3676.24</v>
      </c>
      <c r="F119" s="4">
        <f t="shared" si="1"/>
        <v>11028.72</v>
      </c>
      <c r="G119" s="3" t="s">
        <v>10</v>
      </c>
      <c r="H119" s="5">
        <v>46156</v>
      </c>
      <c r="I119" s="3" t="str">
        <f>TEXT(Table1[[#This Row],[Date]],"mmm")</f>
        <v>May</v>
      </c>
    </row>
    <row r="120" spans="1:9" x14ac:dyDescent="0.3">
      <c r="A120" s="3" t="s">
        <v>154</v>
      </c>
      <c r="B120" s="3" t="s">
        <v>44</v>
      </c>
      <c r="C120" s="3" t="s">
        <v>39</v>
      </c>
      <c r="D120" s="3">
        <v>2</v>
      </c>
      <c r="E120" s="4">
        <v>3342.22</v>
      </c>
      <c r="F120" s="4">
        <f t="shared" si="1"/>
        <v>6684.44</v>
      </c>
      <c r="G120" s="3" t="s">
        <v>18</v>
      </c>
      <c r="H120" s="5">
        <v>46096</v>
      </c>
      <c r="I120" s="3" t="str">
        <f>TEXT(Table1[[#This Row],[Date]],"mmm")</f>
        <v>Mar</v>
      </c>
    </row>
    <row r="121" spans="1:9" x14ac:dyDescent="0.3">
      <c r="A121" s="3" t="s">
        <v>155</v>
      </c>
      <c r="B121" s="3" t="s">
        <v>12</v>
      </c>
      <c r="C121" s="3" t="s">
        <v>13</v>
      </c>
      <c r="D121" s="3">
        <v>3</v>
      </c>
      <c r="E121" s="4">
        <v>1450.75</v>
      </c>
      <c r="F121" s="4">
        <f t="shared" si="1"/>
        <v>4352.25</v>
      </c>
      <c r="G121" s="3" t="s">
        <v>14</v>
      </c>
      <c r="H121" s="5">
        <v>46043</v>
      </c>
      <c r="I121" s="3" t="str">
        <f>TEXT(Table1[[#This Row],[Date]],"mmm")</f>
        <v>Jan</v>
      </c>
    </row>
    <row r="122" spans="1:9" x14ac:dyDescent="0.3">
      <c r="A122" s="3" t="s">
        <v>156</v>
      </c>
      <c r="B122" s="3" t="s">
        <v>72</v>
      </c>
      <c r="C122" s="3" t="s">
        <v>13</v>
      </c>
      <c r="D122" s="3">
        <v>2</v>
      </c>
      <c r="E122" s="4">
        <v>2081.7600000000002</v>
      </c>
      <c r="F122" s="4">
        <f t="shared" si="1"/>
        <v>4163.5200000000004</v>
      </c>
      <c r="G122" s="3" t="s">
        <v>26</v>
      </c>
      <c r="H122" s="5">
        <v>46077</v>
      </c>
      <c r="I122" s="3" t="str">
        <f>TEXT(Table1[[#This Row],[Date]],"mmm")</f>
        <v>Feb</v>
      </c>
    </row>
    <row r="123" spans="1:9" x14ac:dyDescent="0.3">
      <c r="A123" s="3" t="s">
        <v>157</v>
      </c>
      <c r="B123" s="3" t="s">
        <v>31</v>
      </c>
      <c r="C123" s="3" t="s">
        <v>13</v>
      </c>
      <c r="D123" s="3">
        <v>4</v>
      </c>
      <c r="E123" s="4">
        <v>17667.36</v>
      </c>
      <c r="F123" s="4">
        <f t="shared" si="1"/>
        <v>70669.440000000002</v>
      </c>
      <c r="G123" s="3" t="s">
        <v>14</v>
      </c>
      <c r="H123" s="5">
        <v>46142</v>
      </c>
      <c r="I123" s="3" t="str">
        <f>TEXT(Table1[[#This Row],[Date]],"mmm")</f>
        <v>Apr</v>
      </c>
    </row>
    <row r="124" spans="1:9" x14ac:dyDescent="0.3">
      <c r="A124" s="3" t="s">
        <v>158</v>
      </c>
      <c r="B124" s="3" t="s">
        <v>28</v>
      </c>
      <c r="C124" s="3" t="s">
        <v>9</v>
      </c>
      <c r="D124" s="3">
        <v>1</v>
      </c>
      <c r="E124" s="4">
        <v>4705.8900000000003</v>
      </c>
      <c r="F124" s="4">
        <f t="shared" si="1"/>
        <v>4705.8900000000003</v>
      </c>
      <c r="G124" s="3" t="s">
        <v>48</v>
      </c>
      <c r="H124" s="5">
        <v>46122</v>
      </c>
      <c r="I124" s="3" t="str">
        <f>TEXT(Table1[[#This Row],[Date]],"mmm")</f>
        <v>Apr</v>
      </c>
    </row>
    <row r="125" spans="1:9" x14ac:dyDescent="0.3">
      <c r="A125" s="3" t="s">
        <v>159</v>
      </c>
      <c r="B125" s="3" t="s">
        <v>62</v>
      </c>
      <c r="C125" s="3" t="s">
        <v>25</v>
      </c>
      <c r="D125" s="3">
        <v>5</v>
      </c>
      <c r="E125" s="4">
        <v>2177.34</v>
      </c>
      <c r="F125" s="4">
        <f t="shared" si="1"/>
        <v>10886.7</v>
      </c>
      <c r="G125" s="3" t="s">
        <v>46</v>
      </c>
      <c r="H125" s="5">
        <v>46170</v>
      </c>
      <c r="I125" s="3" t="str">
        <f>TEXT(Table1[[#This Row],[Date]],"mmm")</f>
        <v>May</v>
      </c>
    </row>
    <row r="126" spans="1:9" x14ac:dyDescent="0.3">
      <c r="A126" s="3" t="s">
        <v>160</v>
      </c>
      <c r="B126" s="3" t="s">
        <v>28</v>
      </c>
      <c r="C126" s="3" t="s">
        <v>9</v>
      </c>
      <c r="D126" s="3">
        <v>4</v>
      </c>
      <c r="E126" s="4">
        <v>4504.99</v>
      </c>
      <c r="F126" s="4">
        <f t="shared" si="1"/>
        <v>18019.96</v>
      </c>
      <c r="G126" s="3" t="s">
        <v>32</v>
      </c>
      <c r="H126" s="5">
        <v>46099</v>
      </c>
      <c r="I126" s="3" t="str">
        <f>TEXT(Table1[[#This Row],[Date]],"mmm")</f>
        <v>Mar</v>
      </c>
    </row>
    <row r="127" spans="1:9" x14ac:dyDescent="0.3">
      <c r="A127" s="3" t="s">
        <v>161</v>
      </c>
      <c r="B127" s="3" t="s">
        <v>62</v>
      </c>
      <c r="C127" s="3" t="s">
        <v>25</v>
      </c>
      <c r="D127" s="3">
        <v>4</v>
      </c>
      <c r="E127" s="4">
        <v>2140.31</v>
      </c>
      <c r="F127" s="4">
        <f t="shared" si="1"/>
        <v>8561.24</v>
      </c>
      <c r="G127" s="3" t="s">
        <v>48</v>
      </c>
      <c r="H127" s="5">
        <v>46160</v>
      </c>
      <c r="I127" s="3" t="str">
        <f>TEXT(Table1[[#This Row],[Date]],"mmm")</f>
        <v>May</v>
      </c>
    </row>
    <row r="128" spans="1:9" x14ac:dyDescent="0.3">
      <c r="A128" s="3" t="s">
        <v>162</v>
      </c>
      <c r="B128" s="3" t="s">
        <v>21</v>
      </c>
      <c r="C128" s="3" t="s">
        <v>13</v>
      </c>
      <c r="D128" s="3">
        <v>5</v>
      </c>
      <c r="E128" s="4">
        <v>29679.26</v>
      </c>
      <c r="F128" s="4">
        <f t="shared" si="1"/>
        <v>148396.29999999999</v>
      </c>
      <c r="G128" s="3" t="s">
        <v>29</v>
      </c>
      <c r="H128" s="5">
        <v>46147</v>
      </c>
      <c r="I128" s="3" t="str">
        <f>TEXT(Table1[[#This Row],[Date]],"mmm")</f>
        <v>May</v>
      </c>
    </row>
    <row r="129" spans="1:9" x14ac:dyDescent="0.3">
      <c r="A129" s="3" t="s">
        <v>163</v>
      </c>
      <c r="B129" s="3" t="s">
        <v>12</v>
      </c>
      <c r="C129" s="3" t="s">
        <v>13</v>
      </c>
      <c r="D129" s="3">
        <v>3</v>
      </c>
      <c r="E129" s="4">
        <v>1480.75</v>
      </c>
      <c r="F129" s="4">
        <f t="shared" si="1"/>
        <v>4442.25</v>
      </c>
      <c r="G129" s="3" t="s">
        <v>46</v>
      </c>
      <c r="H129" s="5">
        <v>46122</v>
      </c>
      <c r="I129" s="3" t="str">
        <f>TEXT(Table1[[#This Row],[Date]],"mmm")</f>
        <v>Apr</v>
      </c>
    </row>
    <row r="130" spans="1:9" x14ac:dyDescent="0.3">
      <c r="A130" s="3" t="s">
        <v>164</v>
      </c>
      <c r="B130" s="3" t="s">
        <v>55</v>
      </c>
      <c r="C130" s="3" t="s">
        <v>25</v>
      </c>
      <c r="D130" s="3">
        <v>4</v>
      </c>
      <c r="E130" s="4">
        <v>2611.0500000000002</v>
      </c>
      <c r="F130" s="4">
        <f t="shared" si="1"/>
        <v>10444.200000000001</v>
      </c>
      <c r="G130" s="3" t="s">
        <v>22</v>
      </c>
      <c r="H130" s="5">
        <v>46055</v>
      </c>
      <c r="I130" s="3" t="str">
        <f>TEXT(Table1[[#This Row],[Date]],"mmm")</f>
        <v>Feb</v>
      </c>
    </row>
    <row r="131" spans="1:9" x14ac:dyDescent="0.3">
      <c r="A131" s="3" t="s">
        <v>165</v>
      </c>
      <c r="B131" s="3" t="s">
        <v>16</v>
      </c>
      <c r="C131" s="3" t="s">
        <v>17</v>
      </c>
      <c r="D131" s="3">
        <v>5</v>
      </c>
      <c r="E131" s="4">
        <v>407.43</v>
      </c>
      <c r="F131" s="4">
        <f t="shared" ref="F131:F194" si="2">D131*E131</f>
        <v>2037.15</v>
      </c>
      <c r="G131" s="3" t="s">
        <v>48</v>
      </c>
      <c r="H131" s="5">
        <v>46174</v>
      </c>
      <c r="I131" s="3" t="str">
        <f>TEXT(Table1[[#This Row],[Date]],"mmm")</f>
        <v>Jun</v>
      </c>
    </row>
    <row r="132" spans="1:9" x14ac:dyDescent="0.3">
      <c r="A132" s="3" t="s">
        <v>166</v>
      </c>
      <c r="B132" s="3" t="s">
        <v>16</v>
      </c>
      <c r="C132" s="3" t="s">
        <v>17</v>
      </c>
      <c r="D132" s="3">
        <v>1</v>
      </c>
      <c r="E132" s="4">
        <v>412.56</v>
      </c>
      <c r="F132" s="4">
        <f t="shared" si="2"/>
        <v>412.56</v>
      </c>
      <c r="G132" s="3" t="s">
        <v>48</v>
      </c>
      <c r="H132" s="5">
        <v>46057</v>
      </c>
      <c r="I132" s="3" t="str">
        <f>TEXT(Table1[[#This Row],[Date]],"mmm")</f>
        <v>Feb</v>
      </c>
    </row>
    <row r="133" spans="1:9" x14ac:dyDescent="0.3">
      <c r="A133" s="3" t="s">
        <v>167</v>
      </c>
      <c r="B133" s="3" t="s">
        <v>38</v>
      </c>
      <c r="C133" s="3" t="s">
        <v>39</v>
      </c>
      <c r="D133" s="3">
        <v>4</v>
      </c>
      <c r="E133" s="4">
        <v>6086.25</v>
      </c>
      <c r="F133" s="4">
        <f t="shared" si="2"/>
        <v>24345</v>
      </c>
      <c r="G133" s="3" t="s">
        <v>10</v>
      </c>
      <c r="H133" s="5">
        <v>46120</v>
      </c>
      <c r="I133" s="3" t="str">
        <f>TEXT(Table1[[#This Row],[Date]],"mmm")</f>
        <v>Apr</v>
      </c>
    </row>
    <row r="134" spans="1:9" x14ac:dyDescent="0.3">
      <c r="A134" s="3" t="s">
        <v>168</v>
      </c>
      <c r="B134" s="3" t="s">
        <v>55</v>
      </c>
      <c r="C134" s="3" t="s">
        <v>25</v>
      </c>
      <c r="D134" s="3">
        <v>2</v>
      </c>
      <c r="E134" s="4">
        <v>2476.36</v>
      </c>
      <c r="F134" s="4">
        <f t="shared" si="2"/>
        <v>4952.72</v>
      </c>
      <c r="G134" s="3" t="s">
        <v>32</v>
      </c>
      <c r="H134" s="5">
        <v>46120</v>
      </c>
      <c r="I134" s="3" t="str">
        <f>TEXT(Table1[[#This Row],[Date]],"mmm")</f>
        <v>Apr</v>
      </c>
    </row>
    <row r="135" spans="1:9" x14ac:dyDescent="0.3">
      <c r="A135" s="3" t="s">
        <v>169</v>
      </c>
      <c r="B135" s="3" t="s">
        <v>24</v>
      </c>
      <c r="C135" s="3" t="s">
        <v>25</v>
      </c>
      <c r="D135" s="3">
        <v>4</v>
      </c>
      <c r="E135" s="4">
        <v>759.41</v>
      </c>
      <c r="F135" s="4">
        <f t="shared" si="2"/>
        <v>3037.64</v>
      </c>
      <c r="G135" s="3" t="s">
        <v>18</v>
      </c>
      <c r="H135" s="5">
        <v>46143</v>
      </c>
      <c r="I135" s="3" t="str">
        <f>TEXT(Table1[[#This Row],[Date]],"mmm")</f>
        <v>May</v>
      </c>
    </row>
    <row r="136" spans="1:9" x14ac:dyDescent="0.3">
      <c r="A136" s="3" t="s">
        <v>170</v>
      </c>
      <c r="B136" s="3" t="s">
        <v>91</v>
      </c>
      <c r="C136" s="3" t="s">
        <v>13</v>
      </c>
      <c r="D136" s="3">
        <v>5</v>
      </c>
      <c r="E136" s="4">
        <v>50072.94</v>
      </c>
      <c r="F136" s="4">
        <f t="shared" si="2"/>
        <v>250364.7</v>
      </c>
      <c r="G136" s="3" t="s">
        <v>32</v>
      </c>
      <c r="H136" s="5">
        <v>46080</v>
      </c>
      <c r="I136" s="3" t="str">
        <f>TEXT(Table1[[#This Row],[Date]],"mmm")</f>
        <v>Feb</v>
      </c>
    </row>
    <row r="137" spans="1:9" x14ac:dyDescent="0.3">
      <c r="A137" s="3" t="s">
        <v>171</v>
      </c>
      <c r="B137" s="3" t="s">
        <v>8</v>
      </c>
      <c r="C137" s="3" t="s">
        <v>9</v>
      </c>
      <c r="D137" s="3">
        <v>1</v>
      </c>
      <c r="E137" s="4">
        <v>1901.24</v>
      </c>
      <c r="F137" s="4">
        <f t="shared" si="2"/>
        <v>1901.24</v>
      </c>
      <c r="G137" s="3" t="s">
        <v>46</v>
      </c>
      <c r="H137" s="5">
        <v>46030</v>
      </c>
      <c r="I137" s="3" t="str">
        <f>TEXT(Table1[[#This Row],[Date]],"mmm")</f>
        <v>Jan</v>
      </c>
    </row>
    <row r="138" spans="1:9" x14ac:dyDescent="0.3">
      <c r="A138" s="3" t="s">
        <v>172</v>
      </c>
      <c r="B138" s="3" t="s">
        <v>12</v>
      </c>
      <c r="C138" s="3" t="s">
        <v>13</v>
      </c>
      <c r="D138" s="3">
        <v>2</v>
      </c>
      <c r="E138" s="4">
        <v>1601.77</v>
      </c>
      <c r="F138" s="4">
        <f t="shared" si="2"/>
        <v>3203.54</v>
      </c>
      <c r="G138" s="3" t="s">
        <v>50</v>
      </c>
      <c r="H138" s="5">
        <v>46062</v>
      </c>
      <c r="I138" s="3" t="str">
        <f>TEXT(Table1[[#This Row],[Date]],"mmm")</f>
        <v>Feb</v>
      </c>
    </row>
    <row r="139" spans="1:9" x14ac:dyDescent="0.3">
      <c r="A139" s="3" t="s">
        <v>173</v>
      </c>
      <c r="B139" s="3" t="s">
        <v>12</v>
      </c>
      <c r="C139" s="3" t="s">
        <v>13</v>
      </c>
      <c r="D139" s="3">
        <v>2</v>
      </c>
      <c r="E139" s="4">
        <v>1492.07</v>
      </c>
      <c r="F139" s="4">
        <f t="shared" si="2"/>
        <v>2984.14</v>
      </c>
      <c r="G139" s="3" t="s">
        <v>18</v>
      </c>
      <c r="H139" s="5">
        <v>46167</v>
      </c>
      <c r="I139" s="3" t="str">
        <f>TEXT(Table1[[#This Row],[Date]],"mmm")</f>
        <v>May</v>
      </c>
    </row>
    <row r="140" spans="1:9" x14ac:dyDescent="0.3">
      <c r="A140" s="3" t="s">
        <v>174</v>
      </c>
      <c r="B140" s="3" t="s">
        <v>12</v>
      </c>
      <c r="C140" s="3" t="s">
        <v>13</v>
      </c>
      <c r="D140" s="3">
        <v>4</v>
      </c>
      <c r="E140" s="4">
        <v>1559.84</v>
      </c>
      <c r="F140" s="4">
        <f t="shared" si="2"/>
        <v>6239.36</v>
      </c>
      <c r="G140" s="3" t="s">
        <v>32</v>
      </c>
      <c r="H140" s="5">
        <v>46065</v>
      </c>
      <c r="I140" s="3" t="str">
        <f>TEXT(Table1[[#This Row],[Date]],"mmm")</f>
        <v>Feb</v>
      </c>
    </row>
    <row r="141" spans="1:9" x14ac:dyDescent="0.3">
      <c r="A141" s="3" t="s">
        <v>175</v>
      </c>
      <c r="B141" s="3" t="s">
        <v>16</v>
      </c>
      <c r="C141" s="3" t="s">
        <v>17</v>
      </c>
      <c r="D141" s="3">
        <v>5</v>
      </c>
      <c r="E141" s="4">
        <v>491.74</v>
      </c>
      <c r="F141" s="4">
        <f t="shared" si="2"/>
        <v>2458.6999999999998</v>
      </c>
      <c r="G141" s="3" t="s">
        <v>18</v>
      </c>
      <c r="H141" s="5">
        <v>46064</v>
      </c>
      <c r="I141" s="3" t="str">
        <f>TEXT(Table1[[#This Row],[Date]],"mmm")</f>
        <v>Feb</v>
      </c>
    </row>
    <row r="142" spans="1:9" x14ac:dyDescent="0.3">
      <c r="A142" s="3" t="s">
        <v>176</v>
      </c>
      <c r="B142" s="3" t="s">
        <v>24</v>
      </c>
      <c r="C142" s="3" t="s">
        <v>25</v>
      </c>
      <c r="D142" s="3">
        <v>1</v>
      </c>
      <c r="E142" s="4">
        <v>811.57</v>
      </c>
      <c r="F142" s="4">
        <f t="shared" si="2"/>
        <v>811.57</v>
      </c>
      <c r="G142" s="3" t="s">
        <v>10</v>
      </c>
      <c r="H142" s="5">
        <v>46170</v>
      </c>
      <c r="I142" s="3" t="str">
        <f>TEXT(Table1[[#This Row],[Date]],"mmm")</f>
        <v>May</v>
      </c>
    </row>
    <row r="143" spans="1:9" x14ac:dyDescent="0.3">
      <c r="A143" s="3" t="s">
        <v>177</v>
      </c>
      <c r="B143" s="3" t="s">
        <v>8</v>
      </c>
      <c r="C143" s="3" t="s">
        <v>9</v>
      </c>
      <c r="D143" s="3">
        <v>4</v>
      </c>
      <c r="E143" s="4">
        <v>1762.8</v>
      </c>
      <c r="F143" s="4">
        <f t="shared" si="2"/>
        <v>7051.2</v>
      </c>
      <c r="G143" s="3" t="s">
        <v>29</v>
      </c>
      <c r="H143" s="5">
        <v>46042</v>
      </c>
      <c r="I143" s="3" t="str">
        <f>TEXT(Table1[[#This Row],[Date]],"mmm")</f>
        <v>Jan</v>
      </c>
    </row>
    <row r="144" spans="1:9" x14ac:dyDescent="0.3">
      <c r="A144" s="3" t="s">
        <v>178</v>
      </c>
      <c r="B144" s="3" t="s">
        <v>16</v>
      </c>
      <c r="C144" s="3" t="s">
        <v>17</v>
      </c>
      <c r="D144" s="3">
        <v>2</v>
      </c>
      <c r="E144" s="4">
        <v>414.17</v>
      </c>
      <c r="F144" s="4">
        <f t="shared" si="2"/>
        <v>828.34</v>
      </c>
      <c r="G144" s="3" t="s">
        <v>10</v>
      </c>
      <c r="H144" s="5">
        <v>46198</v>
      </c>
      <c r="I144" s="3" t="str">
        <f>TEXT(Table1[[#This Row],[Date]],"mmm")</f>
        <v>Jun</v>
      </c>
    </row>
    <row r="145" spans="1:9" x14ac:dyDescent="0.3">
      <c r="A145" s="3" t="s">
        <v>179</v>
      </c>
      <c r="B145" s="3" t="s">
        <v>16</v>
      </c>
      <c r="C145" s="3" t="s">
        <v>17</v>
      </c>
      <c r="D145" s="3">
        <v>1</v>
      </c>
      <c r="E145" s="4">
        <v>476.66</v>
      </c>
      <c r="F145" s="4">
        <f t="shared" si="2"/>
        <v>476.66</v>
      </c>
      <c r="G145" s="3" t="s">
        <v>50</v>
      </c>
      <c r="H145" s="5">
        <v>46033</v>
      </c>
      <c r="I145" s="3" t="str">
        <f>TEXT(Table1[[#This Row],[Date]],"mmm")</f>
        <v>Jan</v>
      </c>
    </row>
    <row r="146" spans="1:9" x14ac:dyDescent="0.3">
      <c r="A146" s="3" t="s">
        <v>180</v>
      </c>
      <c r="B146" s="3" t="s">
        <v>55</v>
      </c>
      <c r="C146" s="3" t="s">
        <v>25</v>
      </c>
      <c r="D146" s="3">
        <v>5</v>
      </c>
      <c r="E146" s="4">
        <v>2463.1999999999998</v>
      </c>
      <c r="F146" s="4">
        <f t="shared" si="2"/>
        <v>12316</v>
      </c>
      <c r="G146" s="3" t="s">
        <v>32</v>
      </c>
      <c r="H146" s="5">
        <v>46040</v>
      </c>
      <c r="I146" s="3" t="str">
        <f>TEXT(Table1[[#This Row],[Date]],"mmm")</f>
        <v>Jan</v>
      </c>
    </row>
    <row r="147" spans="1:9" x14ac:dyDescent="0.3">
      <c r="A147" s="3" t="s">
        <v>181</v>
      </c>
      <c r="B147" s="3" t="s">
        <v>80</v>
      </c>
      <c r="C147" s="3" t="s">
        <v>39</v>
      </c>
      <c r="D147" s="3">
        <v>3</v>
      </c>
      <c r="E147" s="4">
        <v>3790.63</v>
      </c>
      <c r="F147" s="4">
        <f t="shared" si="2"/>
        <v>11371.89</v>
      </c>
      <c r="G147" s="3" t="s">
        <v>48</v>
      </c>
      <c r="H147" s="5">
        <v>46148</v>
      </c>
      <c r="I147" s="3" t="str">
        <f>TEXT(Table1[[#This Row],[Date]],"mmm")</f>
        <v>May</v>
      </c>
    </row>
    <row r="148" spans="1:9" x14ac:dyDescent="0.3">
      <c r="A148" s="3" t="s">
        <v>182</v>
      </c>
      <c r="B148" s="3" t="s">
        <v>31</v>
      </c>
      <c r="C148" s="3" t="s">
        <v>13</v>
      </c>
      <c r="D148" s="3">
        <v>4</v>
      </c>
      <c r="E148" s="4">
        <v>19658.84</v>
      </c>
      <c r="F148" s="4">
        <f t="shared" si="2"/>
        <v>78635.360000000001</v>
      </c>
      <c r="G148" s="3" t="s">
        <v>22</v>
      </c>
      <c r="H148" s="5">
        <v>46062</v>
      </c>
      <c r="I148" s="3" t="str">
        <f>TEXT(Table1[[#This Row],[Date]],"mmm")</f>
        <v>Feb</v>
      </c>
    </row>
    <row r="149" spans="1:9" x14ac:dyDescent="0.3">
      <c r="A149" s="3" t="s">
        <v>183</v>
      </c>
      <c r="B149" s="3" t="s">
        <v>28</v>
      </c>
      <c r="C149" s="3" t="s">
        <v>9</v>
      </c>
      <c r="D149" s="3">
        <v>2</v>
      </c>
      <c r="E149" s="4">
        <v>5232.75</v>
      </c>
      <c r="F149" s="4">
        <f t="shared" si="2"/>
        <v>10465.5</v>
      </c>
      <c r="G149" s="3" t="s">
        <v>10</v>
      </c>
      <c r="H149" s="5">
        <v>46180</v>
      </c>
      <c r="I149" s="3" t="str">
        <f>TEXT(Table1[[#This Row],[Date]],"mmm")</f>
        <v>Jun</v>
      </c>
    </row>
    <row r="150" spans="1:9" x14ac:dyDescent="0.3">
      <c r="A150" s="3" t="s">
        <v>184</v>
      </c>
      <c r="B150" s="3" t="s">
        <v>62</v>
      </c>
      <c r="C150" s="3" t="s">
        <v>25</v>
      </c>
      <c r="D150" s="3">
        <v>5</v>
      </c>
      <c r="E150" s="4">
        <v>2108.8000000000002</v>
      </c>
      <c r="F150" s="4">
        <f t="shared" si="2"/>
        <v>10544</v>
      </c>
      <c r="G150" s="3" t="s">
        <v>22</v>
      </c>
      <c r="H150" s="5">
        <v>46134</v>
      </c>
      <c r="I150" s="3" t="str">
        <f>TEXT(Table1[[#This Row],[Date]],"mmm")</f>
        <v>Apr</v>
      </c>
    </row>
    <row r="151" spans="1:9" x14ac:dyDescent="0.3">
      <c r="A151" s="3" t="s">
        <v>185</v>
      </c>
      <c r="B151" s="3" t="s">
        <v>38</v>
      </c>
      <c r="C151" s="3" t="s">
        <v>39</v>
      </c>
      <c r="D151" s="3">
        <v>5</v>
      </c>
      <c r="E151" s="4">
        <v>6198.91</v>
      </c>
      <c r="F151" s="4">
        <f t="shared" si="2"/>
        <v>30994.55</v>
      </c>
      <c r="G151" s="3" t="s">
        <v>29</v>
      </c>
      <c r="H151" s="5">
        <v>46045</v>
      </c>
      <c r="I151" s="3" t="str">
        <f>TEXT(Table1[[#This Row],[Date]],"mmm")</f>
        <v>Jan</v>
      </c>
    </row>
    <row r="152" spans="1:9" x14ac:dyDescent="0.3">
      <c r="A152" s="3" t="s">
        <v>186</v>
      </c>
      <c r="B152" s="3" t="s">
        <v>24</v>
      </c>
      <c r="C152" s="3" t="s">
        <v>25</v>
      </c>
      <c r="D152" s="3">
        <v>4</v>
      </c>
      <c r="E152" s="4">
        <v>758.07</v>
      </c>
      <c r="F152" s="4">
        <f t="shared" si="2"/>
        <v>3032.28</v>
      </c>
      <c r="G152" s="3" t="s">
        <v>22</v>
      </c>
      <c r="H152" s="5">
        <v>46168</v>
      </c>
      <c r="I152" s="3" t="str">
        <f>TEXT(Table1[[#This Row],[Date]],"mmm")</f>
        <v>May</v>
      </c>
    </row>
    <row r="153" spans="1:9" x14ac:dyDescent="0.3">
      <c r="A153" s="3" t="s">
        <v>187</v>
      </c>
      <c r="B153" s="3" t="s">
        <v>16</v>
      </c>
      <c r="C153" s="3" t="s">
        <v>17</v>
      </c>
      <c r="D153" s="3">
        <v>4</v>
      </c>
      <c r="E153" s="4">
        <v>435.28</v>
      </c>
      <c r="F153" s="4">
        <f t="shared" si="2"/>
        <v>1741.12</v>
      </c>
      <c r="G153" s="3" t="s">
        <v>22</v>
      </c>
      <c r="H153" s="5">
        <v>46106</v>
      </c>
      <c r="I153" s="3" t="str">
        <f>TEXT(Table1[[#This Row],[Date]],"mmm")</f>
        <v>Mar</v>
      </c>
    </row>
    <row r="154" spans="1:9" x14ac:dyDescent="0.3">
      <c r="A154" s="3" t="s">
        <v>188</v>
      </c>
      <c r="B154" s="3" t="s">
        <v>72</v>
      </c>
      <c r="C154" s="3" t="s">
        <v>13</v>
      </c>
      <c r="D154" s="3">
        <v>4</v>
      </c>
      <c r="E154" s="4">
        <v>2073.33</v>
      </c>
      <c r="F154" s="4">
        <f t="shared" si="2"/>
        <v>8293.32</v>
      </c>
      <c r="G154" s="3" t="s">
        <v>10</v>
      </c>
      <c r="H154" s="5">
        <v>46110</v>
      </c>
      <c r="I154" s="3" t="str">
        <f>TEXT(Table1[[#This Row],[Date]],"mmm")</f>
        <v>Mar</v>
      </c>
    </row>
    <row r="155" spans="1:9" x14ac:dyDescent="0.3">
      <c r="A155" s="3" t="s">
        <v>189</v>
      </c>
      <c r="B155" s="3" t="s">
        <v>24</v>
      </c>
      <c r="C155" s="3" t="s">
        <v>25</v>
      </c>
      <c r="D155" s="3">
        <v>5</v>
      </c>
      <c r="E155" s="4">
        <v>831.15</v>
      </c>
      <c r="F155" s="4">
        <f t="shared" si="2"/>
        <v>4155.75</v>
      </c>
      <c r="G155" s="3" t="s">
        <v>10</v>
      </c>
      <c r="H155" s="5">
        <v>46165</v>
      </c>
      <c r="I155" s="3" t="str">
        <f>TEXT(Table1[[#This Row],[Date]],"mmm")</f>
        <v>May</v>
      </c>
    </row>
    <row r="156" spans="1:9" x14ac:dyDescent="0.3">
      <c r="A156" s="3" t="s">
        <v>190</v>
      </c>
      <c r="B156" s="3" t="s">
        <v>91</v>
      </c>
      <c r="C156" s="3" t="s">
        <v>13</v>
      </c>
      <c r="D156" s="3">
        <v>5</v>
      </c>
      <c r="E156" s="4">
        <v>59928.69</v>
      </c>
      <c r="F156" s="4">
        <f t="shared" si="2"/>
        <v>299643.45</v>
      </c>
      <c r="G156" s="3" t="s">
        <v>18</v>
      </c>
      <c r="H156" s="5">
        <v>46084</v>
      </c>
      <c r="I156" s="3" t="str">
        <f>TEXT(Table1[[#This Row],[Date]],"mmm")</f>
        <v>Mar</v>
      </c>
    </row>
    <row r="157" spans="1:9" x14ac:dyDescent="0.3">
      <c r="A157" s="3" t="s">
        <v>191</v>
      </c>
      <c r="B157" s="3" t="s">
        <v>21</v>
      </c>
      <c r="C157" s="3" t="s">
        <v>13</v>
      </c>
      <c r="D157" s="3">
        <v>4</v>
      </c>
      <c r="E157" s="4">
        <v>27936.04</v>
      </c>
      <c r="F157" s="4">
        <f t="shared" si="2"/>
        <v>111744.16</v>
      </c>
      <c r="G157" s="3" t="s">
        <v>29</v>
      </c>
      <c r="H157" s="5">
        <v>46199</v>
      </c>
      <c r="I157" s="3" t="str">
        <f>TEXT(Table1[[#This Row],[Date]],"mmm")</f>
        <v>Jun</v>
      </c>
    </row>
    <row r="158" spans="1:9" x14ac:dyDescent="0.3">
      <c r="A158" s="3" t="s">
        <v>192</v>
      </c>
      <c r="B158" s="3" t="s">
        <v>44</v>
      </c>
      <c r="C158" s="3" t="s">
        <v>39</v>
      </c>
      <c r="D158" s="3">
        <v>4</v>
      </c>
      <c r="E158" s="4">
        <v>3463.72</v>
      </c>
      <c r="F158" s="4">
        <f t="shared" si="2"/>
        <v>13854.88</v>
      </c>
      <c r="G158" s="3" t="s">
        <v>46</v>
      </c>
      <c r="H158" s="5">
        <v>46046</v>
      </c>
      <c r="I158" s="3" t="str">
        <f>TEXT(Table1[[#This Row],[Date]],"mmm")</f>
        <v>Jan</v>
      </c>
    </row>
    <row r="159" spans="1:9" x14ac:dyDescent="0.3">
      <c r="A159" s="3" t="s">
        <v>193</v>
      </c>
      <c r="B159" s="3" t="s">
        <v>24</v>
      </c>
      <c r="C159" s="3" t="s">
        <v>25</v>
      </c>
      <c r="D159" s="3">
        <v>2</v>
      </c>
      <c r="E159" s="4">
        <v>783.72</v>
      </c>
      <c r="F159" s="4">
        <f t="shared" si="2"/>
        <v>1567.44</v>
      </c>
      <c r="G159" s="3" t="s">
        <v>29</v>
      </c>
      <c r="H159" s="5">
        <v>46101</v>
      </c>
      <c r="I159" s="3" t="str">
        <f>TEXT(Table1[[#This Row],[Date]],"mmm")</f>
        <v>Mar</v>
      </c>
    </row>
    <row r="160" spans="1:9" x14ac:dyDescent="0.3">
      <c r="A160" s="3" t="s">
        <v>194</v>
      </c>
      <c r="B160" s="3" t="s">
        <v>8</v>
      </c>
      <c r="C160" s="3" t="s">
        <v>9</v>
      </c>
      <c r="D160" s="3">
        <v>5</v>
      </c>
      <c r="E160" s="4">
        <v>1752.85</v>
      </c>
      <c r="F160" s="4">
        <f t="shared" si="2"/>
        <v>8764.25</v>
      </c>
      <c r="G160" s="3" t="s">
        <v>14</v>
      </c>
      <c r="H160" s="5">
        <v>46158</v>
      </c>
      <c r="I160" s="3" t="str">
        <f>TEXT(Table1[[#This Row],[Date]],"mmm")</f>
        <v>May</v>
      </c>
    </row>
    <row r="161" spans="1:9" x14ac:dyDescent="0.3">
      <c r="A161" s="3" t="s">
        <v>195</v>
      </c>
      <c r="B161" s="3" t="s">
        <v>55</v>
      </c>
      <c r="C161" s="3" t="s">
        <v>25</v>
      </c>
      <c r="D161" s="3">
        <v>4</v>
      </c>
      <c r="E161" s="4">
        <v>2747.22</v>
      </c>
      <c r="F161" s="4">
        <f t="shared" si="2"/>
        <v>10988.88</v>
      </c>
      <c r="G161" s="3" t="s">
        <v>14</v>
      </c>
      <c r="H161" s="5">
        <v>46107</v>
      </c>
      <c r="I161" s="3" t="str">
        <f>TEXT(Table1[[#This Row],[Date]],"mmm")</f>
        <v>Mar</v>
      </c>
    </row>
    <row r="162" spans="1:9" x14ac:dyDescent="0.3">
      <c r="A162" s="3" t="s">
        <v>196</v>
      </c>
      <c r="B162" s="3" t="s">
        <v>55</v>
      </c>
      <c r="C162" s="3" t="s">
        <v>25</v>
      </c>
      <c r="D162" s="3">
        <v>4</v>
      </c>
      <c r="E162" s="4">
        <v>2384.5</v>
      </c>
      <c r="F162" s="4">
        <f t="shared" si="2"/>
        <v>9538</v>
      </c>
      <c r="G162" s="3" t="s">
        <v>10</v>
      </c>
      <c r="H162" s="5">
        <v>46082</v>
      </c>
      <c r="I162" s="3" t="str">
        <f>TEXT(Table1[[#This Row],[Date]],"mmm")</f>
        <v>Mar</v>
      </c>
    </row>
    <row r="163" spans="1:9" x14ac:dyDescent="0.3">
      <c r="A163" s="3" t="s">
        <v>197</v>
      </c>
      <c r="B163" s="3" t="s">
        <v>31</v>
      </c>
      <c r="C163" s="3" t="s">
        <v>13</v>
      </c>
      <c r="D163" s="3">
        <v>2</v>
      </c>
      <c r="E163" s="4">
        <v>17335.97</v>
      </c>
      <c r="F163" s="4">
        <f t="shared" si="2"/>
        <v>34671.94</v>
      </c>
      <c r="G163" s="3" t="s">
        <v>14</v>
      </c>
      <c r="H163" s="5">
        <v>46199</v>
      </c>
      <c r="I163" s="3" t="str">
        <f>TEXT(Table1[[#This Row],[Date]],"mmm")</f>
        <v>Jun</v>
      </c>
    </row>
    <row r="164" spans="1:9" x14ac:dyDescent="0.3">
      <c r="A164" s="3" t="s">
        <v>198</v>
      </c>
      <c r="B164" s="3" t="s">
        <v>72</v>
      </c>
      <c r="C164" s="3" t="s">
        <v>13</v>
      </c>
      <c r="D164" s="3">
        <v>2</v>
      </c>
      <c r="E164" s="4">
        <v>2075.21</v>
      </c>
      <c r="F164" s="4">
        <f t="shared" si="2"/>
        <v>4150.42</v>
      </c>
      <c r="G164" s="3" t="s">
        <v>22</v>
      </c>
      <c r="H164" s="5">
        <v>46093</v>
      </c>
      <c r="I164" s="3" t="str">
        <f>TEXT(Table1[[#This Row],[Date]],"mmm")</f>
        <v>Mar</v>
      </c>
    </row>
    <row r="165" spans="1:9" x14ac:dyDescent="0.3">
      <c r="A165" s="3" t="s">
        <v>199</v>
      </c>
      <c r="B165" s="3" t="s">
        <v>21</v>
      </c>
      <c r="C165" s="3" t="s">
        <v>13</v>
      </c>
      <c r="D165" s="3">
        <v>5</v>
      </c>
      <c r="E165" s="4">
        <v>30669</v>
      </c>
      <c r="F165" s="4">
        <f t="shared" si="2"/>
        <v>153345</v>
      </c>
      <c r="G165" s="3" t="s">
        <v>14</v>
      </c>
      <c r="H165" s="5">
        <v>46175</v>
      </c>
      <c r="I165" s="3" t="str">
        <f>TEXT(Table1[[#This Row],[Date]],"mmm")</f>
        <v>Jun</v>
      </c>
    </row>
    <row r="166" spans="1:9" x14ac:dyDescent="0.3">
      <c r="A166" s="3" t="s">
        <v>200</v>
      </c>
      <c r="B166" s="3" t="s">
        <v>24</v>
      </c>
      <c r="C166" s="3" t="s">
        <v>25</v>
      </c>
      <c r="D166" s="3">
        <v>1</v>
      </c>
      <c r="E166" s="4">
        <v>852.15</v>
      </c>
      <c r="F166" s="4">
        <f t="shared" si="2"/>
        <v>852.15</v>
      </c>
      <c r="G166" s="3" t="s">
        <v>10</v>
      </c>
      <c r="H166" s="5">
        <v>46081</v>
      </c>
      <c r="I166" s="3" t="str">
        <f>TEXT(Table1[[#This Row],[Date]],"mmm")</f>
        <v>Feb</v>
      </c>
    </row>
    <row r="167" spans="1:9" x14ac:dyDescent="0.3">
      <c r="A167" s="3" t="s">
        <v>201</v>
      </c>
      <c r="B167" s="3" t="s">
        <v>55</v>
      </c>
      <c r="C167" s="3" t="s">
        <v>25</v>
      </c>
      <c r="D167" s="3">
        <v>2</v>
      </c>
      <c r="E167" s="4">
        <v>2400.17</v>
      </c>
      <c r="F167" s="4">
        <f t="shared" si="2"/>
        <v>4800.34</v>
      </c>
      <c r="G167" s="3" t="s">
        <v>14</v>
      </c>
      <c r="H167" s="5">
        <v>46055</v>
      </c>
      <c r="I167" s="3" t="str">
        <f>TEXT(Table1[[#This Row],[Date]],"mmm")</f>
        <v>Feb</v>
      </c>
    </row>
    <row r="168" spans="1:9" x14ac:dyDescent="0.3">
      <c r="A168" s="3" t="s">
        <v>202</v>
      </c>
      <c r="B168" s="3" t="s">
        <v>24</v>
      </c>
      <c r="C168" s="3" t="s">
        <v>25</v>
      </c>
      <c r="D168" s="3">
        <v>1</v>
      </c>
      <c r="E168" s="4">
        <v>874.79</v>
      </c>
      <c r="F168" s="4">
        <f t="shared" si="2"/>
        <v>874.79</v>
      </c>
      <c r="G168" s="3" t="s">
        <v>14</v>
      </c>
      <c r="H168" s="5">
        <v>46097</v>
      </c>
      <c r="I168" s="3" t="str">
        <f>TEXT(Table1[[#This Row],[Date]],"mmm")</f>
        <v>Mar</v>
      </c>
    </row>
    <row r="169" spans="1:9" x14ac:dyDescent="0.3">
      <c r="A169" s="3" t="s">
        <v>203</v>
      </c>
      <c r="B169" s="3" t="s">
        <v>21</v>
      </c>
      <c r="C169" s="3" t="s">
        <v>13</v>
      </c>
      <c r="D169" s="3">
        <v>2</v>
      </c>
      <c r="E169" s="4">
        <v>28772.07</v>
      </c>
      <c r="F169" s="4">
        <f t="shared" si="2"/>
        <v>57544.14</v>
      </c>
      <c r="G169" s="3" t="s">
        <v>22</v>
      </c>
      <c r="H169" s="5">
        <v>46049</v>
      </c>
      <c r="I169" s="3" t="str">
        <f>TEXT(Table1[[#This Row],[Date]],"mmm")</f>
        <v>Jan</v>
      </c>
    </row>
    <row r="170" spans="1:9" x14ac:dyDescent="0.3">
      <c r="A170" s="3" t="s">
        <v>204</v>
      </c>
      <c r="B170" s="3" t="s">
        <v>38</v>
      </c>
      <c r="C170" s="3" t="s">
        <v>39</v>
      </c>
      <c r="D170" s="3">
        <v>1</v>
      </c>
      <c r="E170" s="4">
        <v>6596.28</v>
      </c>
      <c r="F170" s="4">
        <f t="shared" si="2"/>
        <v>6596.28</v>
      </c>
      <c r="G170" s="3" t="s">
        <v>22</v>
      </c>
      <c r="H170" s="5">
        <v>46145</v>
      </c>
      <c r="I170" s="3" t="str">
        <f>TEXT(Table1[[#This Row],[Date]],"mmm")</f>
        <v>May</v>
      </c>
    </row>
    <row r="171" spans="1:9" x14ac:dyDescent="0.3">
      <c r="A171" s="3" t="s">
        <v>205</v>
      </c>
      <c r="B171" s="3" t="s">
        <v>44</v>
      </c>
      <c r="C171" s="3" t="s">
        <v>39</v>
      </c>
      <c r="D171" s="3">
        <v>3</v>
      </c>
      <c r="E171" s="4">
        <v>3279.05</v>
      </c>
      <c r="F171" s="4">
        <f t="shared" si="2"/>
        <v>9837.1500000000015</v>
      </c>
      <c r="G171" s="3" t="s">
        <v>46</v>
      </c>
      <c r="H171" s="5">
        <v>46087</v>
      </c>
      <c r="I171" s="3" t="str">
        <f>TEXT(Table1[[#This Row],[Date]],"mmm")</f>
        <v>Mar</v>
      </c>
    </row>
    <row r="172" spans="1:9" x14ac:dyDescent="0.3">
      <c r="A172" s="3" t="s">
        <v>206</v>
      </c>
      <c r="B172" s="3" t="s">
        <v>38</v>
      </c>
      <c r="C172" s="3" t="s">
        <v>39</v>
      </c>
      <c r="D172" s="3">
        <v>4</v>
      </c>
      <c r="E172" s="4">
        <v>5998.31</v>
      </c>
      <c r="F172" s="4">
        <f t="shared" si="2"/>
        <v>23993.24</v>
      </c>
      <c r="G172" s="3" t="s">
        <v>18</v>
      </c>
      <c r="H172" s="5">
        <v>46125</v>
      </c>
      <c r="I172" s="3" t="str">
        <f>TEXT(Table1[[#This Row],[Date]],"mmm")</f>
        <v>Apr</v>
      </c>
    </row>
    <row r="173" spans="1:9" x14ac:dyDescent="0.3">
      <c r="A173" s="3" t="s">
        <v>207</v>
      </c>
      <c r="B173" s="3" t="s">
        <v>44</v>
      </c>
      <c r="C173" s="3" t="s">
        <v>39</v>
      </c>
      <c r="D173" s="3">
        <v>1</v>
      </c>
      <c r="E173" s="4">
        <v>3553.91</v>
      </c>
      <c r="F173" s="4">
        <f t="shared" si="2"/>
        <v>3553.91</v>
      </c>
      <c r="G173" s="3" t="s">
        <v>46</v>
      </c>
      <c r="H173" s="5">
        <v>46061</v>
      </c>
      <c r="I173" s="3" t="str">
        <f>TEXT(Table1[[#This Row],[Date]],"mmm")</f>
        <v>Feb</v>
      </c>
    </row>
    <row r="174" spans="1:9" x14ac:dyDescent="0.3">
      <c r="A174" s="3" t="s">
        <v>208</v>
      </c>
      <c r="B174" s="3" t="s">
        <v>72</v>
      </c>
      <c r="C174" s="3" t="s">
        <v>13</v>
      </c>
      <c r="D174" s="3">
        <v>5</v>
      </c>
      <c r="E174" s="4">
        <v>2397.62</v>
      </c>
      <c r="F174" s="4">
        <f t="shared" si="2"/>
        <v>11988.099999999999</v>
      </c>
      <c r="G174" s="3" t="s">
        <v>18</v>
      </c>
      <c r="H174" s="5">
        <v>46086</v>
      </c>
      <c r="I174" s="3" t="str">
        <f>TEXT(Table1[[#This Row],[Date]],"mmm")</f>
        <v>Mar</v>
      </c>
    </row>
    <row r="175" spans="1:9" x14ac:dyDescent="0.3">
      <c r="A175" s="3" t="s">
        <v>209</v>
      </c>
      <c r="B175" s="3" t="s">
        <v>31</v>
      </c>
      <c r="C175" s="3" t="s">
        <v>13</v>
      </c>
      <c r="D175" s="3">
        <v>5</v>
      </c>
      <c r="E175" s="4">
        <v>18952</v>
      </c>
      <c r="F175" s="4">
        <f t="shared" si="2"/>
        <v>94760</v>
      </c>
      <c r="G175" s="3" t="s">
        <v>50</v>
      </c>
      <c r="H175" s="5">
        <v>46175</v>
      </c>
      <c r="I175" s="3" t="str">
        <f>TEXT(Table1[[#This Row],[Date]],"mmm")</f>
        <v>Jun</v>
      </c>
    </row>
    <row r="176" spans="1:9" x14ac:dyDescent="0.3">
      <c r="A176" s="3" t="s">
        <v>210</v>
      </c>
      <c r="B176" s="3" t="s">
        <v>62</v>
      </c>
      <c r="C176" s="3" t="s">
        <v>25</v>
      </c>
      <c r="D176" s="3">
        <v>5</v>
      </c>
      <c r="E176" s="4">
        <v>1889.33</v>
      </c>
      <c r="F176" s="4">
        <f t="shared" si="2"/>
        <v>9446.65</v>
      </c>
      <c r="G176" s="3" t="s">
        <v>14</v>
      </c>
      <c r="H176" s="5">
        <v>46120</v>
      </c>
      <c r="I176" s="3" t="str">
        <f>TEXT(Table1[[#This Row],[Date]],"mmm")</f>
        <v>Apr</v>
      </c>
    </row>
    <row r="177" spans="1:9" x14ac:dyDescent="0.3">
      <c r="A177" s="3" t="s">
        <v>211</v>
      </c>
      <c r="B177" s="3" t="s">
        <v>44</v>
      </c>
      <c r="C177" s="3" t="s">
        <v>39</v>
      </c>
      <c r="D177" s="3">
        <v>4</v>
      </c>
      <c r="E177" s="4">
        <v>3358.15</v>
      </c>
      <c r="F177" s="4">
        <f t="shared" si="2"/>
        <v>13432.6</v>
      </c>
      <c r="G177" s="3" t="s">
        <v>50</v>
      </c>
      <c r="H177" s="5">
        <v>46132</v>
      </c>
      <c r="I177" s="3" t="str">
        <f>TEXT(Table1[[#This Row],[Date]],"mmm")</f>
        <v>Apr</v>
      </c>
    </row>
    <row r="178" spans="1:9" x14ac:dyDescent="0.3">
      <c r="A178" s="3" t="s">
        <v>212</v>
      </c>
      <c r="B178" s="3" t="s">
        <v>24</v>
      </c>
      <c r="C178" s="3" t="s">
        <v>25</v>
      </c>
      <c r="D178" s="3">
        <v>5</v>
      </c>
      <c r="E178" s="4">
        <v>818.34</v>
      </c>
      <c r="F178" s="4">
        <f t="shared" si="2"/>
        <v>4091.7000000000003</v>
      </c>
      <c r="G178" s="3" t="s">
        <v>50</v>
      </c>
      <c r="H178" s="5">
        <v>46048</v>
      </c>
      <c r="I178" s="3" t="str">
        <f>TEXT(Table1[[#This Row],[Date]],"mmm")</f>
        <v>Jan</v>
      </c>
    </row>
    <row r="179" spans="1:9" x14ac:dyDescent="0.3">
      <c r="A179" s="3" t="s">
        <v>213</v>
      </c>
      <c r="B179" s="3" t="s">
        <v>62</v>
      </c>
      <c r="C179" s="3" t="s">
        <v>25</v>
      </c>
      <c r="D179" s="3">
        <v>2</v>
      </c>
      <c r="E179" s="4">
        <v>2049.1799999999998</v>
      </c>
      <c r="F179" s="4">
        <f t="shared" si="2"/>
        <v>4098.3599999999997</v>
      </c>
      <c r="G179" s="3" t="s">
        <v>10</v>
      </c>
      <c r="H179" s="5">
        <v>46192</v>
      </c>
      <c r="I179" s="3" t="str">
        <f>TEXT(Table1[[#This Row],[Date]],"mmm")</f>
        <v>Jun</v>
      </c>
    </row>
    <row r="180" spans="1:9" x14ac:dyDescent="0.3">
      <c r="A180" s="3" t="s">
        <v>214</v>
      </c>
      <c r="B180" s="3" t="s">
        <v>31</v>
      </c>
      <c r="C180" s="3" t="s">
        <v>13</v>
      </c>
      <c r="D180" s="3">
        <v>2</v>
      </c>
      <c r="E180" s="4">
        <v>17063.509999999998</v>
      </c>
      <c r="F180" s="4">
        <f t="shared" si="2"/>
        <v>34127.019999999997</v>
      </c>
      <c r="G180" s="3" t="s">
        <v>14</v>
      </c>
      <c r="H180" s="5">
        <v>46042</v>
      </c>
      <c r="I180" s="3" t="str">
        <f>TEXT(Table1[[#This Row],[Date]],"mmm")</f>
        <v>Jan</v>
      </c>
    </row>
    <row r="181" spans="1:9" x14ac:dyDescent="0.3">
      <c r="A181" s="3" t="s">
        <v>215</v>
      </c>
      <c r="B181" s="3" t="s">
        <v>72</v>
      </c>
      <c r="C181" s="3" t="s">
        <v>13</v>
      </c>
      <c r="D181" s="3">
        <v>1</v>
      </c>
      <c r="E181" s="4">
        <v>2159.75</v>
      </c>
      <c r="F181" s="4">
        <f t="shared" si="2"/>
        <v>2159.75</v>
      </c>
      <c r="G181" s="3" t="s">
        <v>50</v>
      </c>
      <c r="H181" s="5">
        <v>46143</v>
      </c>
      <c r="I181" s="3" t="str">
        <f>TEXT(Table1[[#This Row],[Date]],"mmm")</f>
        <v>May</v>
      </c>
    </row>
    <row r="182" spans="1:9" x14ac:dyDescent="0.3">
      <c r="A182" s="3" t="s">
        <v>216</v>
      </c>
      <c r="B182" s="3" t="s">
        <v>24</v>
      </c>
      <c r="C182" s="3" t="s">
        <v>25</v>
      </c>
      <c r="D182" s="3">
        <v>1</v>
      </c>
      <c r="E182" s="4">
        <v>756.09</v>
      </c>
      <c r="F182" s="4">
        <f t="shared" si="2"/>
        <v>756.09</v>
      </c>
      <c r="G182" s="3" t="s">
        <v>10</v>
      </c>
      <c r="H182" s="5">
        <v>46202</v>
      </c>
      <c r="I182" s="3" t="str">
        <f>TEXT(Table1[[#This Row],[Date]],"mmm")</f>
        <v>Jun</v>
      </c>
    </row>
    <row r="183" spans="1:9" x14ac:dyDescent="0.3">
      <c r="A183" s="3" t="s">
        <v>217</v>
      </c>
      <c r="B183" s="3" t="s">
        <v>38</v>
      </c>
      <c r="C183" s="3" t="s">
        <v>39</v>
      </c>
      <c r="D183" s="3">
        <v>4</v>
      </c>
      <c r="E183" s="4">
        <v>5942.53</v>
      </c>
      <c r="F183" s="4">
        <f t="shared" si="2"/>
        <v>23770.12</v>
      </c>
      <c r="G183" s="3" t="s">
        <v>29</v>
      </c>
      <c r="H183" s="5">
        <v>46090</v>
      </c>
      <c r="I183" s="3" t="str">
        <f>TEXT(Table1[[#This Row],[Date]],"mmm")</f>
        <v>Mar</v>
      </c>
    </row>
    <row r="184" spans="1:9" x14ac:dyDescent="0.3">
      <c r="A184" s="3" t="s">
        <v>218</v>
      </c>
      <c r="B184" s="3" t="s">
        <v>62</v>
      </c>
      <c r="C184" s="3" t="s">
        <v>25</v>
      </c>
      <c r="D184" s="3">
        <v>5</v>
      </c>
      <c r="E184" s="4">
        <v>2063.44</v>
      </c>
      <c r="F184" s="4">
        <f t="shared" si="2"/>
        <v>10317.200000000001</v>
      </c>
      <c r="G184" s="3" t="s">
        <v>29</v>
      </c>
      <c r="H184" s="5">
        <v>46131</v>
      </c>
      <c r="I184" s="3" t="str">
        <f>TEXT(Table1[[#This Row],[Date]],"mmm")</f>
        <v>Apr</v>
      </c>
    </row>
    <row r="185" spans="1:9" x14ac:dyDescent="0.3">
      <c r="A185" s="3" t="s">
        <v>219</v>
      </c>
      <c r="B185" s="3" t="s">
        <v>31</v>
      </c>
      <c r="C185" s="3" t="s">
        <v>13</v>
      </c>
      <c r="D185" s="3">
        <v>5</v>
      </c>
      <c r="E185" s="4">
        <v>17009.310000000001</v>
      </c>
      <c r="F185" s="4">
        <f t="shared" si="2"/>
        <v>85046.55</v>
      </c>
      <c r="G185" s="3" t="s">
        <v>26</v>
      </c>
      <c r="H185" s="5">
        <v>46091</v>
      </c>
      <c r="I185" s="3" t="str">
        <f>TEXT(Table1[[#This Row],[Date]],"mmm")</f>
        <v>Mar</v>
      </c>
    </row>
    <row r="186" spans="1:9" x14ac:dyDescent="0.3">
      <c r="A186" s="3" t="s">
        <v>220</v>
      </c>
      <c r="B186" s="3" t="s">
        <v>38</v>
      </c>
      <c r="C186" s="3" t="s">
        <v>39</v>
      </c>
      <c r="D186" s="3">
        <v>2</v>
      </c>
      <c r="E186" s="4">
        <v>5942.83</v>
      </c>
      <c r="F186" s="4">
        <f t="shared" si="2"/>
        <v>11885.66</v>
      </c>
      <c r="G186" s="3" t="s">
        <v>26</v>
      </c>
      <c r="H186" s="5">
        <v>46101</v>
      </c>
      <c r="I186" s="3" t="str">
        <f>TEXT(Table1[[#This Row],[Date]],"mmm")</f>
        <v>Mar</v>
      </c>
    </row>
    <row r="187" spans="1:9" x14ac:dyDescent="0.3">
      <c r="A187" s="3" t="s">
        <v>221</v>
      </c>
      <c r="B187" s="3" t="s">
        <v>16</v>
      </c>
      <c r="C187" s="3" t="s">
        <v>17</v>
      </c>
      <c r="D187" s="3">
        <v>5</v>
      </c>
      <c r="E187" s="4">
        <v>487.91</v>
      </c>
      <c r="F187" s="4">
        <f t="shared" si="2"/>
        <v>2439.5500000000002</v>
      </c>
      <c r="G187" s="3" t="s">
        <v>22</v>
      </c>
      <c r="H187" s="5">
        <v>46054</v>
      </c>
      <c r="I187" s="3" t="str">
        <f>TEXT(Table1[[#This Row],[Date]],"mmm")</f>
        <v>Feb</v>
      </c>
    </row>
    <row r="188" spans="1:9" x14ac:dyDescent="0.3">
      <c r="A188" s="3" t="s">
        <v>222</v>
      </c>
      <c r="B188" s="3" t="s">
        <v>44</v>
      </c>
      <c r="C188" s="3" t="s">
        <v>39</v>
      </c>
      <c r="D188" s="3">
        <v>3</v>
      </c>
      <c r="E188" s="4">
        <v>3639.81</v>
      </c>
      <c r="F188" s="4">
        <f t="shared" si="2"/>
        <v>10919.43</v>
      </c>
      <c r="G188" s="3" t="s">
        <v>10</v>
      </c>
      <c r="H188" s="5">
        <v>46151</v>
      </c>
      <c r="I188" s="3" t="str">
        <f>TEXT(Table1[[#This Row],[Date]],"mmm")</f>
        <v>May</v>
      </c>
    </row>
    <row r="189" spans="1:9" x14ac:dyDescent="0.3">
      <c r="A189" s="3" t="s">
        <v>223</v>
      </c>
      <c r="B189" s="3" t="s">
        <v>80</v>
      </c>
      <c r="C189" s="3" t="s">
        <v>39</v>
      </c>
      <c r="D189" s="3">
        <v>4</v>
      </c>
      <c r="E189" s="4">
        <v>4147.72</v>
      </c>
      <c r="F189" s="4">
        <f t="shared" si="2"/>
        <v>16590.88</v>
      </c>
      <c r="G189" s="3" t="s">
        <v>50</v>
      </c>
      <c r="H189" s="5">
        <v>46033</v>
      </c>
      <c r="I189" s="3" t="str">
        <f>TEXT(Table1[[#This Row],[Date]],"mmm")</f>
        <v>Jan</v>
      </c>
    </row>
    <row r="190" spans="1:9" x14ac:dyDescent="0.3">
      <c r="A190" s="3" t="s">
        <v>224</v>
      </c>
      <c r="B190" s="3" t="s">
        <v>28</v>
      </c>
      <c r="C190" s="3" t="s">
        <v>9</v>
      </c>
      <c r="D190" s="3">
        <v>3</v>
      </c>
      <c r="E190" s="4">
        <v>5102.6899999999996</v>
      </c>
      <c r="F190" s="4">
        <f t="shared" si="2"/>
        <v>15308.07</v>
      </c>
      <c r="G190" s="3" t="s">
        <v>46</v>
      </c>
      <c r="H190" s="5">
        <v>46046</v>
      </c>
      <c r="I190" s="3" t="str">
        <f>TEXT(Table1[[#This Row],[Date]],"mmm")</f>
        <v>Jan</v>
      </c>
    </row>
    <row r="191" spans="1:9" x14ac:dyDescent="0.3">
      <c r="A191" s="3" t="s">
        <v>225</v>
      </c>
      <c r="B191" s="3" t="s">
        <v>12</v>
      </c>
      <c r="C191" s="3" t="s">
        <v>13</v>
      </c>
      <c r="D191" s="3">
        <v>5</v>
      </c>
      <c r="E191" s="4">
        <v>1526.14</v>
      </c>
      <c r="F191" s="4">
        <f t="shared" si="2"/>
        <v>7630.7000000000007</v>
      </c>
      <c r="G191" s="3" t="s">
        <v>46</v>
      </c>
      <c r="H191" s="5">
        <v>46195</v>
      </c>
      <c r="I191" s="3" t="str">
        <f>TEXT(Table1[[#This Row],[Date]],"mmm")</f>
        <v>Jun</v>
      </c>
    </row>
    <row r="192" spans="1:9" x14ac:dyDescent="0.3">
      <c r="A192" s="3" t="s">
        <v>226</v>
      </c>
      <c r="B192" s="3" t="s">
        <v>38</v>
      </c>
      <c r="C192" s="3" t="s">
        <v>39</v>
      </c>
      <c r="D192" s="3">
        <v>3</v>
      </c>
      <c r="E192" s="4">
        <v>6599.12</v>
      </c>
      <c r="F192" s="4">
        <f t="shared" si="2"/>
        <v>19797.36</v>
      </c>
      <c r="G192" s="3" t="s">
        <v>26</v>
      </c>
      <c r="H192" s="5">
        <v>46143</v>
      </c>
      <c r="I192" s="3" t="str">
        <f>TEXT(Table1[[#This Row],[Date]],"mmm")</f>
        <v>May</v>
      </c>
    </row>
    <row r="193" spans="1:9" x14ac:dyDescent="0.3">
      <c r="A193" s="3" t="s">
        <v>227</v>
      </c>
      <c r="B193" s="3" t="s">
        <v>80</v>
      </c>
      <c r="C193" s="3" t="s">
        <v>39</v>
      </c>
      <c r="D193" s="3">
        <v>4</v>
      </c>
      <c r="E193" s="4">
        <v>4549.5</v>
      </c>
      <c r="F193" s="4">
        <f t="shared" si="2"/>
        <v>18198</v>
      </c>
      <c r="G193" s="3" t="s">
        <v>26</v>
      </c>
      <c r="H193" s="5">
        <v>46172</v>
      </c>
      <c r="I193" s="3" t="str">
        <f>TEXT(Table1[[#This Row],[Date]],"mmm")</f>
        <v>May</v>
      </c>
    </row>
    <row r="194" spans="1:9" x14ac:dyDescent="0.3">
      <c r="A194" s="3" t="s">
        <v>228</v>
      </c>
      <c r="B194" s="3" t="s">
        <v>28</v>
      </c>
      <c r="C194" s="3" t="s">
        <v>9</v>
      </c>
      <c r="D194" s="3">
        <v>4</v>
      </c>
      <c r="E194" s="4">
        <v>5467.96</v>
      </c>
      <c r="F194" s="4">
        <f t="shared" si="2"/>
        <v>21871.84</v>
      </c>
      <c r="G194" s="3" t="s">
        <v>22</v>
      </c>
      <c r="H194" s="5">
        <v>46112</v>
      </c>
      <c r="I194" s="3" t="str">
        <f>TEXT(Table1[[#This Row],[Date]],"mmm")</f>
        <v>Mar</v>
      </c>
    </row>
    <row r="195" spans="1:9" x14ac:dyDescent="0.3">
      <c r="A195" s="3" t="s">
        <v>229</v>
      </c>
      <c r="B195" s="3" t="s">
        <v>28</v>
      </c>
      <c r="C195" s="3" t="s">
        <v>9</v>
      </c>
      <c r="D195" s="3">
        <v>3</v>
      </c>
      <c r="E195" s="4">
        <v>4820.09</v>
      </c>
      <c r="F195" s="4">
        <f t="shared" ref="F195:F258" si="3">D195*E195</f>
        <v>14460.27</v>
      </c>
      <c r="G195" s="3" t="s">
        <v>18</v>
      </c>
      <c r="H195" s="5">
        <v>46064</v>
      </c>
      <c r="I195" s="3" t="str">
        <f>TEXT(Table1[[#This Row],[Date]],"mmm")</f>
        <v>Feb</v>
      </c>
    </row>
    <row r="196" spans="1:9" x14ac:dyDescent="0.3">
      <c r="A196" s="3" t="s">
        <v>230</v>
      </c>
      <c r="B196" s="3" t="s">
        <v>55</v>
      </c>
      <c r="C196" s="3" t="s">
        <v>25</v>
      </c>
      <c r="D196" s="3">
        <v>4</v>
      </c>
      <c r="E196" s="4">
        <v>2595.8000000000002</v>
      </c>
      <c r="F196" s="4">
        <f t="shared" si="3"/>
        <v>10383.200000000001</v>
      </c>
      <c r="G196" s="3" t="s">
        <v>10</v>
      </c>
      <c r="H196" s="5">
        <v>46192</v>
      </c>
      <c r="I196" s="3" t="str">
        <f>TEXT(Table1[[#This Row],[Date]],"mmm")</f>
        <v>Jun</v>
      </c>
    </row>
    <row r="197" spans="1:9" x14ac:dyDescent="0.3">
      <c r="A197" s="3" t="s">
        <v>231</v>
      </c>
      <c r="B197" s="3" t="s">
        <v>28</v>
      </c>
      <c r="C197" s="3" t="s">
        <v>9</v>
      </c>
      <c r="D197" s="3">
        <v>5</v>
      </c>
      <c r="E197" s="4">
        <v>4535.79</v>
      </c>
      <c r="F197" s="4">
        <f t="shared" si="3"/>
        <v>22678.95</v>
      </c>
      <c r="G197" s="3" t="s">
        <v>18</v>
      </c>
      <c r="H197" s="5">
        <v>46103</v>
      </c>
      <c r="I197" s="3" t="str">
        <f>TEXT(Table1[[#This Row],[Date]],"mmm")</f>
        <v>Mar</v>
      </c>
    </row>
    <row r="198" spans="1:9" x14ac:dyDescent="0.3">
      <c r="A198" s="3" t="s">
        <v>232</v>
      </c>
      <c r="B198" s="3" t="s">
        <v>24</v>
      </c>
      <c r="C198" s="3" t="s">
        <v>25</v>
      </c>
      <c r="D198" s="3">
        <v>3</v>
      </c>
      <c r="E198" s="4">
        <v>737.62</v>
      </c>
      <c r="F198" s="4">
        <f t="shared" si="3"/>
        <v>2212.86</v>
      </c>
      <c r="G198" s="3" t="s">
        <v>48</v>
      </c>
      <c r="H198" s="5">
        <v>46154</v>
      </c>
      <c r="I198" s="3" t="str">
        <f>TEXT(Table1[[#This Row],[Date]],"mmm")</f>
        <v>May</v>
      </c>
    </row>
    <row r="199" spans="1:9" x14ac:dyDescent="0.3">
      <c r="A199" s="3" t="s">
        <v>233</v>
      </c>
      <c r="B199" s="3" t="s">
        <v>38</v>
      </c>
      <c r="C199" s="3" t="s">
        <v>39</v>
      </c>
      <c r="D199" s="3">
        <v>1</v>
      </c>
      <c r="E199" s="4">
        <v>6704.96</v>
      </c>
      <c r="F199" s="4">
        <f t="shared" si="3"/>
        <v>6704.96</v>
      </c>
      <c r="G199" s="3" t="s">
        <v>14</v>
      </c>
      <c r="H199" s="5">
        <v>46141</v>
      </c>
      <c r="I199" s="3" t="str">
        <f>TEXT(Table1[[#This Row],[Date]],"mmm")</f>
        <v>Apr</v>
      </c>
    </row>
    <row r="200" spans="1:9" x14ac:dyDescent="0.3">
      <c r="A200" s="3" t="s">
        <v>234</v>
      </c>
      <c r="B200" s="3" t="s">
        <v>28</v>
      </c>
      <c r="C200" s="3" t="s">
        <v>9</v>
      </c>
      <c r="D200" s="3">
        <v>1</v>
      </c>
      <c r="E200" s="4">
        <v>4686.6499999999996</v>
      </c>
      <c r="F200" s="4">
        <f t="shared" si="3"/>
        <v>4686.6499999999996</v>
      </c>
      <c r="G200" s="3" t="s">
        <v>32</v>
      </c>
      <c r="H200" s="5">
        <v>46182</v>
      </c>
      <c r="I200" s="3" t="str">
        <f>TEXT(Table1[[#This Row],[Date]],"mmm")</f>
        <v>Jun</v>
      </c>
    </row>
    <row r="201" spans="1:9" x14ac:dyDescent="0.3">
      <c r="A201" s="3" t="s">
        <v>235</v>
      </c>
      <c r="B201" s="3" t="s">
        <v>62</v>
      </c>
      <c r="C201" s="3" t="s">
        <v>25</v>
      </c>
      <c r="D201" s="3">
        <v>4</v>
      </c>
      <c r="E201" s="4">
        <v>2049.14</v>
      </c>
      <c r="F201" s="4">
        <f t="shared" si="3"/>
        <v>8196.56</v>
      </c>
      <c r="G201" s="3" t="s">
        <v>46</v>
      </c>
      <c r="H201" s="5">
        <v>46075</v>
      </c>
      <c r="I201" s="3" t="str">
        <f>TEXT(Table1[[#This Row],[Date]],"mmm")</f>
        <v>Feb</v>
      </c>
    </row>
    <row r="202" spans="1:9" x14ac:dyDescent="0.3">
      <c r="A202" s="3" t="s">
        <v>236</v>
      </c>
      <c r="B202" s="3" t="s">
        <v>24</v>
      </c>
      <c r="C202" s="3" t="s">
        <v>25</v>
      </c>
      <c r="D202" s="3">
        <v>5</v>
      </c>
      <c r="E202" s="4">
        <v>740.04</v>
      </c>
      <c r="F202" s="4">
        <f t="shared" si="3"/>
        <v>3700.2</v>
      </c>
      <c r="G202" s="3" t="s">
        <v>10</v>
      </c>
      <c r="H202" s="5">
        <v>46135</v>
      </c>
      <c r="I202" s="3" t="str">
        <f>TEXT(Table1[[#This Row],[Date]],"mmm")</f>
        <v>Apr</v>
      </c>
    </row>
    <row r="203" spans="1:9" x14ac:dyDescent="0.3">
      <c r="A203" s="3" t="s">
        <v>237</v>
      </c>
      <c r="B203" s="3" t="s">
        <v>21</v>
      </c>
      <c r="C203" s="3" t="s">
        <v>13</v>
      </c>
      <c r="D203" s="3">
        <v>4</v>
      </c>
      <c r="E203" s="4">
        <v>25879.99</v>
      </c>
      <c r="F203" s="4">
        <f t="shared" si="3"/>
        <v>103519.96</v>
      </c>
      <c r="G203" s="3" t="s">
        <v>50</v>
      </c>
      <c r="H203" s="5">
        <v>46084</v>
      </c>
      <c r="I203" s="3" t="str">
        <f>TEXT(Table1[[#This Row],[Date]],"mmm")</f>
        <v>Mar</v>
      </c>
    </row>
    <row r="204" spans="1:9" x14ac:dyDescent="0.3">
      <c r="A204" s="3" t="s">
        <v>238</v>
      </c>
      <c r="B204" s="3" t="s">
        <v>21</v>
      </c>
      <c r="C204" s="3" t="s">
        <v>13</v>
      </c>
      <c r="D204" s="3">
        <v>2</v>
      </c>
      <c r="E204" s="4">
        <v>26940.2</v>
      </c>
      <c r="F204" s="4">
        <f t="shared" si="3"/>
        <v>53880.4</v>
      </c>
      <c r="G204" s="3" t="s">
        <v>46</v>
      </c>
      <c r="H204" s="5">
        <v>46164</v>
      </c>
      <c r="I204" s="3" t="str">
        <f>TEXT(Table1[[#This Row],[Date]],"mmm")</f>
        <v>May</v>
      </c>
    </row>
    <row r="205" spans="1:9" x14ac:dyDescent="0.3">
      <c r="A205" s="3" t="s">
        <v>239</v>
      </c>
      <c r="B205" s="3" t="s">
        <v>28</v>
      </c>
      <c r="C205" s="3" t="s">
        <v>9</v>
      </c>
      <c r="D205" s="3">
        <v>1</v>
      </c>
      <c r="E205" s="4">
        <v>4723.76</v>
      </c>
      <c r="F205" s="4">
        <f t="shared" si="3"/>
        <v>4723.76</v>
      </c>
      <c r="G205" s="3" t="s">
        <v>18</v>
      </c>
      <c r="H205" s="5">
        <v>46141</v>
      </c>
      <c r="I205" s="3" t="str">
        <f>TEXT(Table1[[#This Row],[Date]],"mmm")</f>
        <v>Apr</v>
      </c>
    </row>
    <row r="206" spans="1:9" x14ac:dyDescent="0.3">
      <c r="A206" s="3" t="s">
        <v>240</v>
      </c>
      <c r="B206" s="3" t="s">
        <v>31</v>
      </c>
      <c r="C206" s="3" t="s">
        <v>13</v>
      </c>
      <c r="D206" s="3">
        <v>2</v>
      </c>
      <c r="E206" s="4">
        <v>17994.150000000001</v>
      </c>
      <c r="F206" s="4">
        <f t="shared" si="3"/>
        <v>35988.300000000003</v>
      </c>
      <c r="G206" s="3" t="s">
        <v>10</v>
      </c>
      <c r="H206" s="5">
        <v>46153</v>
      </c>
      <c r="I206" s="3" t="str">
        <f>TEXT(Table1[[#This Row],[Date]],"mmm")</f>
        <v>May</v>
      </c>
    </row>
    <row r="207" spans="1:9" x14ac:dyDescent="0.3">
      <c r="A207" s="3" t="s">
        <v>241</v>
      </c>
      <c r="B207" s="3" t="s">
        <v>21</v>
      </c>
      <c r="C207" s="3" t="s">
        <v>13</v>
      </c>
      <c r="D207" s="3">
        <v>3</v>
      </c>
      <c r="E207" s="4">
        <v>27526.75</v>
      </c>
      <c r="F207" s="4">
        <f t="shared" si="3"/>
        <v>82580.25</v>
      </c>
      <c r="G207" s="3" t="s">
        <v>22</v>
      </c>
      <c r="H207" s="5">
        <v>46143</v>
      </c>
      <c r="I207" s="3" t="str">
        <f>TEXT(Table1[[#This Row],[Date]],"mmm")</f>
        <v>May</v>
      </c>
    </row>
    <row r="208" spans="1:9" x14ac:dyDescent="0.3">
      <c r="A208" s="3" t="s">
        <v>242</v>
      </c>
      <c r="B208" s="3" t="s">
        <v>12</v>
      </c>
      <c r="C208" s="3" t="s">
        <v>13</v>
      </c>
      <c r="D208" s="3">
        <v>4</v>
      </c>
      <c r="E208" s="4">
        <v>1515.38</v>
      </c>
      <c r="F208" s="4">
        <f t="shared" si="3"/>
        <v>6061.52</v>
      </c>
      <c r="G208" s="3" t="s">
        <v>48</v>
      </c>
      <c r="H208" s="5">
        <v>46071</v>
      </c>
      <c r="I208" s="3" t="str">
        <f>TEXT(Table1[[#This Row],[Date]],"mmm")</f>
        <v>Feb</v>
      </c>
    </row>
    <row r="209" spans="1:9" x14ac:dyDescent="0.3">
      <c r="A209" s="3" t="s">
        <v>243</v>
      </c>
      <c r="B209" s="3" t="s">
        <v>16</v>
      </c>
      <c r="C209" s="3" t="s">
        <v>17</v>
      </c>
      <c r="D209" s="3">
        <v>5</v>
      </c>
      <c r="E209" s="4">
        <v>472.17</v>
      </c>
      <c r="F209" s="4">
        <f t="shared" si="3"/>
        <v>2360.85</v>
      </c>
      <c r="G209" s="3" t="s">
        <v>26</v>
      </c>
      <c r="H209" s="5">
        <v>46040</v>
      </c>
      <c r="I209" s="3" t="str">
        <f>TEXT(Table1[[#This Row],[Date]],"mmm")</f>
        <v>Jan</v>
      </c>
    </row>
    <row r="210" spans="1:9" x14ac:dyDescent="0.3">
      <c r="A210" s="3" t="s">
        <v>244</v>
      </c>
      <c r="B210" s="3" t="s">
        <v>24</v>
      </c>
      <c r="C210" s="3" t="s">
        <v>25</v>
      </c>
      <c r="D210" s="3">
        <v>4</v>
      </c>
      <c r="E210" s="4">
        <v>773.41</v>
      </c>
      <c r="F210" s="4">
        <f t="shared" si="3"/>
        <v>3093.64</v>
      </c>
      <c r="G210" s="3" t="s">
        <v>14</v>
      </c>
      <c r="H210" s="5">
        <v>46091</v>
      </c>
      <c r="I210" s="3" t="str">
        <f>TEXT(Table1[[#This Row],[Date]],"mmm")</f>
        <v>Mar</v>
      </c>
    </row>
    <row r="211" spans="1:9" x14ac:dyDescent="0.3">
      <c r="A211" s="3" t="s">
        <v>245</v>
      </c>
      <c r="B211" s="3" t="s">
        <v>38</v>
      </c>
      <c r="C211" s="3" t="s">
        <v>39</v>
      </c>
      <c r="D211" s="3">
        <v>1</v>
      </c>
      <c r="E211" s="4">
        <v>6217.69</v>
      </c>
      <c r="F211" s="4">
        <f t="shared" si="3"/>
        <v>6217.69</v>
      </c>
      <c r="G211" s="3" t="s">
        <v>10</v>
      </c>
      <c r="H211" s="5">
        <v>46173</v>
      </c>
      <c r="I211" s="3" t="str">
        <f>TEXT(Table1[[#This Row],[Date]],"mmm")</f>
        <v>May</v>
      </c>
    </row>
    <row r="212" spans="1:9" x14ac:dyDescent="0.3">
      <c r="A212" s="3" t="s">
        <v>246</v>
      </c>
      <c r="B212" s="3" t="s">
        <v>16</v>
      </c>
      <c r="C212" s="3" t="s">
        <v>17</v>
      </c>
      <c r="D212" s="3">
        <v>4</v>
      </c>
      <c r="E212" s="4">
        <v>482.87</v>
      </c>
      <c r="F212" s="4">
        <f t="shared" si="3"/>
        <v>1931.48</v>
      </c>
      <c r="G212" s="3" t="s">
        <v>22</v>
      </c>
      <c r="H212" s="5">
        <v>46160</v>
      </c>
      <c r="I212" s="3" t="str">
        <f>TEXT(Table1[[#This Row],[Date]],"mmm")</f>
        <v>May</v>
      </c>
    </row>
    <row r="213" spans="1:9" x14ac:dyDescent="0.3">
      <c r="A213" s="3" t="s">
        <v>247</v>
      </c>
      <c r="B213" s="3" t="s">
        <v>44</v>
      </c>
      <c r="C213" s="3" t="s">
        <v>39</v>
      </c>
      <c r="D213" s="3">
        <v>3</v>
      </c>
      <c r="E213" s="4">
        <v>3382.71</v>
      </c>
      <c r="F213" s="4">
        <f t="shared" si="3"/>
        <v>10148.130000000001</v>
      </c>
      <c r="G213" s="3" t="s">
        <v>14</v>
      </c>
      <c r="H213" s="5">
        <v>46119</v>
      </c>
      <c r="I213" s="3" t="str">
        <f>TEXT(Table1[[#This Row],[Date]],"mmm")</f>
        <v>Apr</v>
      </c>
    </row>
    <row r="214" spans="1:9" x14ac:dyDescent="0.3">
      <c r="A214" s="3" t="s">
        <v>248</v>
      </c>
      <c r="B214" s="3" t="s">
        <v>44</v>
      </c>
      <c r="C214" s="3" t="s">
        <v>39</v>
      </c>
      <c r="D214" s="3">
        <v>3</v>
      </c>
      <c r="E214" s="4">
        <v>3758.72</v>
      </c>
      <c r="F214" s="4">
        <f t="shared" si="3"/>
        <v>11276.16</v>
      </c>
      <c r="G214" s="3" t="s">
        <v>29</v>
      </c>
      <c r="H214" s="5">
        <v>46169</v>
      </c>
      <c r="I214" s="3" t="str">
        <f>TEXT(Table1[[#This Row],[Date]],"mmm")</f>
        <v>May</v>
      </c>
    </row>
    <row r="215" spans="1:9" x14ac:dyDescent="0.3">
      <c r="A215" s="3" t="s">
        <v>249</v>
      </c>
      <c r="B215" s="3" t="s">
        <v>28</v>
      </c>
      <c r="C215" s="3" t="s">
        <v>9</v>
      </c>
      <c r="D215" s="3">
        <v>2</v>
      </c>
      <c r="E215" s="4">
        <v>5354.94</v>
      </c>
      <c r="F215" s="4">
        <f t="shared" si="3"/>
        <v>10709.88</v>
      </c>
      <c r="G215" s="3" t="s">
        <v>48</v>
      </c>
      <c r="H215" s="5">
        <v>46034</v>
      </c>
      <c r="I215" s="3" t="str">
        <f>TEXT(Table1[[#This Row],[Date]],"mmm")</f>
        <v>Jan</v>
      </c>
    </row>
    <row r="216" spans="1:9" x14ac:dyDescent="0.3">
      <c r="A216" s="3" t="s">
        <v>250</v>
      </c>
      <c r="B216" s="3" t="s">
        <v>55</v>
      </c>
      <c r="C216" s="3" t="s">
        <v>25</v>
      </c>
      <c r="D216" s="3">
        <v>4</v>
      </c>
      <c r="E216" s="4">
        <v>2601.5700000000002</v>
      </c>
      <c r="F216" s="4">
        <f t="shared" si="3"/>
        <v>10406.280000000001</v>
      </c>
      <c r="G216" s="3" t="s">
        <v>48</v>
      </c>
      <c r="H216" s="5">
        <v>46121</v>
      </c>
      <c r="I216" s="3" t="str">
        <f>TEXT(Table1[[#This Row],[Date]],"mmm")</f>
        <v>Apr</v>
      </c>
    </row>
    <row r="217" spans="1:9" x14ac:dyDescent="0.3">
      <c r="A217" s="3" t="s">
        <v>251</v>
      </c>
      <c r="B217" s="3" t="s">
        <v>8</v>
      </c>
      <c r="C217" s="3" t="s">
        <v>9</v>
      </c>
      <c r="D217" s="3">
        <v>2</v>
      </c>
      <c r="E217" s="4">
        <v>1798.32</v>
      </c>
      <c r="F217" s="4">
        <f t="shared" si="3"/>
        <v>3596.64</v>
      </c>
      <c r="G217" s="3" t="s">
        <v>46</v>
      </c>
      <c r="H217" s="5">
        <v>46055</v>
      </c>
      <c r="I217" s="3" t="str">
        <f>TEXT(Table1[[#This Row],[Date]],"mmm")</f>
        <v>Feb</v>
      </c>
    </row>
    <row r="218" spans="1:9" x14ac:dyDescent="0.3">
      <c r="A218" s="3" t="s">
        <v>252</v>
      </c>
      <c r="B218" s="3" t="s">
        <v>80</v>
      </c>
      <c r="C218" s="3" t="s">
        <v>39</v>
      </c>
      <c r="D218" s="3">
        <v>5</v>
      </c>
      <c r="E218" s="4">
        <v>4058.88</v>
      </c>
      <c r="F218" s="4">
        <f t="shared" si="3"/>
        <v>20294.400000000001</v>
      </c>
      <c r="G218" s="3" t="s">
        <v>18</v>
      </c>
      <c r="H218" s="5">
        <v>46135</v>
      </c>
      <c r="I218" s="3" t="str">
        <f>TEXT(Table1[[#This Row],[Date]],"mmm")</f>
        <v>Apr</v>
      </c>
    </row>
    <row r="219" spans="1:9" x14ac:dyDescent="0.3">
      <c r="A219" s="3" t="s">
        <v>253</v>
      </c>
      <c r="B219" s="3" t="s">
        <v>31</v>
      </c>
      <c r="C219" s="3" t="s">
        <v>13</v>
      </c>
      <c r="D219" s="3">
        <v>5</v>
      </c>
      <c r="E219" s="4">
        <v>19477.59</v>
      </c>
      <c r="F219" s="4">
        <f t="shared" si="3"/>
        <v>97387.95</v>
      </c>
      <c r="G219" s="3" t="s">
        <v>46</v>
      </c>
      <c r="H219" s="5">
        <v>46059</v>
      </c>
      <c r="I219" s="3" t="str">
        <f>TEXT(Table1[[#This Row],[Date]],"mmm")</f>
        <v>Feb</v>
      </c>
    </row>
    <row r="220" spans="1:9" x14ac:dyDescent="0.3">
      <c r="A220" s="3" t="s">
        <v>254</v>
      </c>
      <c r="B220" s="3" t="s">
        <v>28</v>
      </c>
      <c r="C220" s="3" t="s">
        <v>9</v>
      </c>
      <c r="D220" s="3">
        <v>2</v>
      </c>
      <c r="E220" s="4">
        <v>4573.91</v>
      </c>
      <c r="F220" s="4">
        <f t="shared" si="3"/>
        <v>9147.82</v>
      </c>
      <c r="G220" s="3" t="s">
        <v>10</v>
      </c>
      <c r="H220" s="5">
        <v>46109</v>
      </c>
      <c r="I220" s="3" t="str">
        <f>TEXT(Table1[[#This Row],[Date]],"mmm")</f>
        <v>Mar</v>
      </c>
    </row>
    <row r="221" spans="1:9" x14ac:dyDescent="0.3">
      <c r="A221" s="3" t="s">
        <v>255</v>
      </c>
      <c r="B221" s="3" t="s">
        <v>16</v>
      </c>
      <c r="C221" s="3" t="s">
        <v>17</v>
      </c>
      <c r="D221" s="3">
        <v>4</v>
      </c>
      <c r="E221" s="4">
        <v>463.49</v>
      </c>
      <c r="F221" s="4">
        <f t="shared" si="3"/>
        <v>1853.96</v>
      </c>
      <c r="G221" s="3" t="s">
        <v>32</v>
      </c>
      <c r="H221" s="5">
        <v>46195</v>
      </c>
      <c r="I221" s="3" t="str">
        <f>TEXT(Table1[[#This Row],[Date]],"mmm")</f>
        <v>Jun</v>
      </c>
    </row>
    <row r="222" spans="1:9" x14ac:dyDescent="0.3">
      <c r="A222" s="3" t="s">
        <v>256</v>
      </c>
      <c r="B222" s="3" t="s">
        <v>38</v>
      </c>
      <c r="C222" s="3" t="s">
        <v>39</v>
      </c>
      <c r="D222" s="3">
        <v>5</v>
      </c>
      <c r="E222" s="4">
        <v>6344.01</v>
      </c>
      <c r="F222" s="4">
        <f t="shared" si="3"/>
        <v>31720.050000000003</v>
      </c>
      <c r="G222" s="3" t="s">
        <v>32</v>
      </c>
      <c r="H222" s="5">
        <v>46183</v>
      </c>
      <c r="I222" s="3" t="str">
        <f>TEXT(Table1[[#This Row],[Date]],"mmm")</f>
        <v>Jun</v>
      </c>
    </row>
    <row r="223" spans="1:9" x14ac:dyDescent="0.3">
      <c r="A223" s="3" t="s">
        <v>257</v>
      </c>
      <c r="B223" s="3" t="s">
        <v>21</v>
      </c>
      <c r="C223" s="3" t="s">
        <v>13</v>
      </c>
      <c r="D223" s="3">
        <v>4</v>
      </c>
      <c r="E223" s="4">
        <v>30085.34</v>
      </c>
      <c r="F223" s="4">
        <f t="shared" si="3"/>
        <v>120341.36</v>
      </c>
      <c r="G223" s="3" t="s">
        <v>46</v>
      </c>
      <c r="H223" s="5">
        <v>46181</v>
      </c>
      <c r="I223" s="3" t="str">
        <f>TEXT(Table1[[#This Row],[Date]],"mmm")</f>
        <v>Jun</v>
      </c>
    </row>
    <row r="224" spans="1:9" x14ac:dyDescent="0.3">
      <c r="A224" s="3" t="s">
        <v>258</v>
      </c>
      <c r="B224" s="3" t="s">
        <v>31</v>
      </c>
      <c r="C224" s="3" t="s">
        <v>13</v>
      </c>
      <c r="D224" s="3">
        <v>2</v>
      </c>
      <c r="E224" s="4">
        <v>18472.18</v>
      </c>
      <c r="F224" s="4">
        <f t="shared" si="3"/>
        <v>36944.36</v>
      </c>
      <c r="G224" s="3" t="s">
        <v>10</v>
      </c>
      <c r="H224" s="5">
        <v>46081</v>
      </c>
      <c r="I224" s="3" t="str">
        <f>TEXT(Table1[[#This Row],[Date]],"mmm")</f>
        <v>Feb</v>
      </c>
    </row>
    <row r="225" spans="1:9" x14ac:dyDescent="0.3">
      <c r="A225" s="3" t="s">
        <v>259</v>
      </c>
      <c r="B225" s="3" t="s">
        <v>21</v>
      </c>
      <c r="C225" s="3" t="s">
        <v>13</v>
      </c>
      <c r="D225" s="3">
        <v>1</v>
      </c>
      <c r="E225" s="4">
        <v>27630.240000000002</v>
      </c>
      <c r="F225" s="4">
        <f t="shared" si="3"/>
        <v>27630.240000000002</v>
      </c>
      <c r="G225" s="3" t="s">
        <v>18</v>
      </c>
      <c r="H225" s="5">
        <v>46185</v>
      </c>
      <c r="I225" s="3" t="str">
        <f>TEXT(Table1[[#This Row],[Date]],"mmm")</f>
        <v>Jun</v>
      </c>
    </row>
    <row r="226" spans="1:9" x14ac:dyDescent="0.3">
      <c r="A226" s="3" t="s">
        <v>260</v>
      </c>
      <c r="B226" s="3" t="s">
        <v>21</v>
      </c>
      <c r="C226" s="3" t="s">
        <v>13</v>
      </c>
      <c r="D226" s="3">
        <v>1</v>
      </c>
      <c r="E226" s="4">
        <v>27684.6</v>
      </c>
      <c r="F226" s="4">
        <f t="shared" si="3"/>
        <v>27684.6</v>
      </c>
      <c r="G226" s="3" t="s">
        <v>10</v>
      </c>
      <c r="H226" s="5">
        <v>46030</v>
      </c>
      <c r="I226" s="3" t="str">
        <f>TEXT(Table1[[#This Row],[Date]],"mmm")</f>
        <v>Jan</v>
      </c>
    </row>
    <row r="227" spans="1:9" x14ac:dyDescent="0.3">
      <c r="A227" s="3" t="s">
        <v>261</v>
      </c>
      <c r="B227" s="3" t="s">
        <v>91</v>
      </c>
      <c r="C227" s="3" t="s">
        <v>13</v>
      </c>
      <c r="D227" s="3">
        <v>3</v>
      </c>
      <c r="E227" s="4">
        <v>58257.58</v>
      </c>
      <c r="F227" s="4">
        <f t="shared" si="3"/>
        <v>174772.74</v>
      </c>
      <c r="G227" s="3" t="s">
        <v>10</v>
      </c>
      <c r="H227" s="5">
        <v>46114</v>
      </c>
      <c r="I227" s="3" t="str">
        <f>TEXT(Table1[[#This Row],[Date]],"mmm")</f>
        <v>Apr</v>
      </c>
    </row>
    <row r="228" spans="1:9" x14ac:dyDescent="0.3">
      <c r="A228" s="3" t="s">
        <v>262</v>
      </c>
      <c r="B228" s="3" t="s">
        <v>55</v>
      </c>
      <c r="C228" s="3" t="s">
        <v>25</v>
      </c>
      <c r="D228" s="3">
        <v>4</v>
      </c>
      <c r="E228" s="4">
        <v>2321.86</v>
      </c>
      <c r="F228" s="4">
        <f t="shared" si="3"/>
        <v>9287.44</v>
      </c>
      <c r="G228" s="3" t="s">
        <v>14</v>
      </c>
      <c r="H228" s="5">
        <v>46128</v>
      </c>
      <c r="I228" s="3" t="str">
        <f>TEXT(Table1[[#This Row],[Date]],"mmm")</f>
        <v>Apr</v>
      </c>
    </row>
    <row r="229" spans="1:9" x14ac:dyDescent="0.3">
      <c r="A229" s="3" t="s">
        <v>263</v>
      </c>
      <c r="B229" s="3" t="s">
        <v>16</v>
      </c>
      <c r="C229" s="3" t="s">
        <v>17</v>
      </c>
      <c r="D229" s="3">
        <v>2</v>
      </c>
      <c r="E229" s="4">
        <v>420.3</v>
      </c>
      <c r="F229" s="4">
        <f t="shared" si="3"/>
        <v>840.6</v>
      </c>
      <c r="G229" s="3" t="s">
        <v>18</v>
      </c>
      <c r="H229" s="5">
        <v>46179</v>
      </c>
      <c r="I229" s="3" t="str">
        <f>TEXT(Table1[[#This Row],[Date]],"mmm")</f>
        <v>Jun</v>
      </c>
    </row>
    <row r="230" spans="1:9" x14ac:dyDescent="0.3">
      <c r="A230" s="3" t="s">
        <v>264</v>
      </c>
      <c r="B230" s="3" t="s">
        <v>38</v>
      </c>
      <c r="C230" s="3" t="s">
        <v>39</v>
      </c>
      <c r="D230" s="3">
        <v>4</v>
      </c>
      <c r="E230" s="4">
        <v>6655.62</v>
      </c>
      <c r="F230" s="4">
        <f t="shared" si="3"/>
        <v>26622.48</v>
      </c>
      <c r="G230" s="3" t="s">
        <v>29</v>
      </c>
      <c r="H230" s="5">
        <v>46150</v>
      </c>
      <c r="I230" s="3" t="str">
        <f>TEXT(Table1[[#This Row],[Date]],"mmm")</f>
        <v>May</v>
      </c>
    </row>
    <row r="231" spans="1:9" x14ac:dyDescent="0.3">
      <c r="A231" s="3" t="s">
        <v>265</v>
      </c>
      <c r="B231" s="3" t="s">
        <v>16</v>
      </c>
      <c r="C231" s="3" t="s">
        <v>17</v>
      </c>
      <c r="D231" s="3">
        <v>2</v>
      </c>
      <c r="E231" s="4">
        <v>425.9</v>
      </c>
      <c r="F231" s="4">
        <f t="shared" si="3"/>
        <v>851.8</v>
      </c>
      <c r="G231" s="3" t="s">
        <v>10</v>
      </c>
      <c r="H231" s="5">
        <v>46140</v>
      </c>
      <c r="I231" s="3" t="str">
        <f>TEXT(Table1[[#This Row],[Date]],"mmm")</f>
        <v>Apr</v>
      </c>
    </row>
    <row r="232" spans="1:9" x14ac:dyDescent="0.3">
      <c r="A232" s="3" t="s">
        <v>266</v>
      </c>
      <c r="B232" s="3" t="s">
        <v>24</v>
      </c>
      <c r="C232" s="3" t="s">
        <v>25</v>
      </c>
      <c r="D232" s="3">
        <v>1</v>
      </c>
      <c r="E232" s="4">
        <v>862.75</v>
      </c>
      <c r="F232" s="4">
        <f t="shared" si="3"/>
        <v>862.75</v>
      </c>
      <c r="G232" s="3" t="s">
        <v>22</v>
      </c>
      <c r="H232" s="5">
        <v>46096</v>
      </c>
      <c r="I232" s="3" t="str">
        <f>TEXT(Table1[[#This Row],[Date]],"mmm")</f>
        <v>Mar</v>
      </c>
    </row>
    <row r="233" spans="1:9" x14ac:dyDescent="0.3">
      <c r="A233" s="3" t="s">
        <v>267</v>
      </c>
      <c r="B233" s="3" t="s">
        <v>8</v>
      </c>
      <c r="C233" s="3" t="s">
        <v>9</v>
      </c>
      <c r="D233" s="3">
        <v>5</v>
      </c>
      <c r="E233" s="4">
        <v>1676.87</v>
      </c>
      <c r="F233" s="4">
        <f t="shared" si="3"/>
        <v>8384.3499999999985</v>
      </c>
      <c r="G233" s="3" t="s">
        <v>22</v>
      </c>
      <c r="H233" s="5">
        <v>46111</v>
      </c>
      <c r="I233" s="3" t="str">
        <f>TEXT(Table1[[#This Row],[Date]],"mmm")</f>
        <v>Mar</v>
      </c>
    </row>
    <row r="234" spans="1:9" x14ac:dyDescent="0.3">
      <c r="A234" s="3" t="s">
        <v>268</v>
      </c>
      <c r="B234" s="3" t="s">
        <v>16</v>
      </c>
      <c r="C234" s="3" t="s">
        <v>17</v>
      </c>
      <c r="D234" s="3">
        <v>3</v>
      </c>
      <c r="E234" s="4">
        <v>462.5</v>
      </c>
      <c r="F234" s="4">
        <f t="shared" si="3"/>
        <v>1387.5</v>
      </c>
      <c r="G234" s="3" t="s">
        <v>48</v>
      </c>
      <c r="H234" s="5">
        <v>46199</v>
      </c>
      <c r="I234" s="3" t="str">
        <f>TEXT(Table1[[#This Row],[Date]],"mmm")</f>
        <v>Jun</v>
      </c>
    </row>
    <row r="235" spans="1:9" x14ac:dyDescent="0.3">
      <c r="A235" s="3" t="s">
        <v>269</v>
      </c>
      <c r="B235" s="3" t="s">
        <v>24</v>
      </c>
      <c r="C235" s="3" t="s">
        <v>25</v>
      </c>
      <c r="D235" s="3">
        <v>4</v>
      </c>
      <c r="E235" s="4">
        <v>854.18</v>
      </c>
      <c r="F235" s="4">
        <f t="shared" si="3"/>
        <v>3416.72</v>
      </c>
      <c r="G235" s="3" t="s">
        <v>29</v>
      </c>
      <c r="H235" s="5">
        <v>46121</v>
      </c>
      <c r="I235" s="3" t="str">
        <f>TEXT(Table1[[#This Row],[Date]],"mmm")</f>
        <v>Apr</v>
      </c>
    </row>
    <row r="236" spans="1:9" x14ac:dyDescent="0.3">
      <c r="A236" s="3" t="s">
        <v>270</v>
      </c>
      <c r="B236" s="3" t="s">
        <v>38</v>
      </c>
      <c r="C236" s="3" t="s">
        <v>39</v>
      </c>
      <c r="D236" s="3">
        <v>4</v>
      </c>
      <c r="E236" s="4">
        <v>5988.65</v>
      </c>
      <c r="F236" s="4">
        <f t="shared" si="3"/>
        <v>23954.6</v>
      </c>
      <c r="G236" s="3" t="s">
        <v>48</v>
      </c>
      <c r="H236" s="5">
        <v>46169</v>
      </c>
      <c r="I236" s="3" t="str">
        <f>TEXT(Table1[[#This Row],[Date]],"mmm")</f>
        <v>May</v>
      </c>
    </row>
    <row r="237" spans="1:9" x14ac:dyDescent="0.3">
      <c r="A237" s="3" t="s">
        <v>271</v>
      </c>
      <c r="B237" s="3" t="s">
        <v>55</v>
      </c>
      <c r="C237" s="3" t="s">
        <v>25</v>
      </c>
      <c r="D237" s="3">
        <v>5</v>
      </c>
      <c r="E237" s="4">
        <v>2396.98</v>
      </c>
      <c r="F237" s="4">
        <f t="shared" si="3"/>
        <v>11984.9</v>
      </c>
      <c r="G237" s="3" t="s">
        <v>10</v>
      </c>
      <c r="H237" s="5">
        <v>46028</v>
      </c>
      <c r="I237" s="3" t="str">
        <f>TEXT(Table1[[#This Row],[Date]],"mmm")</f>
        <v>Jan</v>
      </c>
    </row>
    <row r="238" spans="1:9" x14ac:dyDescent="0.3">
      <c r="A238" s="3" t="s">
        <v>272</v>
      </c>
      <c r="B238" s="3" t="s">
        <v>38</v>
      </c>
      <c r="C238" s="3" t="s">
        <v>39</v>
      </c>
      <c r="D238" s="3">
        <v>4</v>
      </c>
      <c r="E238" s="4">
        <v>6206.82</v>
      </c>
      <c r="F238" s="4">
        <f t="shared" si="3"/>
        <v>24827.279999999999</v>
      </c>
      <c r="G238" s="3" t="s">
        <v>50</v>
      </c>
      <c r="H238" s="5">
        <v>46198</v>
      </c>
      <c r="I238" s="3" t="str">
        <f>TEXT(Table1[[#This Row],[Date]],"mmm")</f>
        <v>Jun</v>
      </c>
    </row>
    <row r="239" spans="1:9" x14ac:dyDescent="0.3">
      <c r="A239" s="3" t="s">
        <v>273</v>
      </c>
      <c r="B239" s="3" t="s">
        <v>62</v>
      </c>
      <c r="C239" s="3" t="s">
        <v>25</v>
      </c>
      <c r="D239" s="3">
        <v>1</v>
      </c>
      <c r="E239" s="4">
        <v>2163.16</v>
      </c>
      <c r="F239" s="4">
        <f t="shared" si="3"/>
        <v>2163.16</v>
      </c>
      <c r="G239" s="3" t="s">
        <v>22</v>
      </c>
      <c r="H239" s="5">
        <v>46096</v>
      </c>
      <c r="I239" s="3" t="str">
        <f>TEXT(Table1[[#This Row],[Date]],"mmm")</f>
        <v>Mar</v>
      </c>
    </row>
    <row r="240" spans="1:9" x14ac:dyDescent="0.3">
      <c r="A240" s="3" t="s">
        <v>274</v>
      </c>
      <c r="B240" s="3" t="s">
        <v>62</v>
      </c>
      <c r="C240" s="3" t="s">
        <v>25</v>
      </c>
      <c r="D240" s="3">
        <v>2</v>
      </c>
      <c r="E240" s="4">
        <v>2041.8</v>
      </c>
      <c r="F240" s="4">
        <f t="shared" si="3"/>
        <v>4083.6</v>
      </c>
      <c r="G240" s="3" t="s">
        <v>32</v>
      </c>
      <c r="H240" s="5">
        <v>46079</v>
      </c>
      <c r="I240" s="3" t="str">
        <f>TEXT(Table1[[#This Row],[Date]],"mmm")</f>
        <v>Feb</v>
      </c>
    </row>
    <row r="241" spans="1:9" x14ac:dyDescent="0.3">
      <c r="A241" s="3" t="s">
        <v>275</v>
      </c>
      <c r="B241" s="3" t="s">
        <v>8</v>
      </c>
      <c r="C241" s="3" t="s">
        <v>9</v>
      </c>
      <c r="D241" s="3">
        <v>2</v>
      </c>
      <c r="E241" s="4">
        <v>1843.52</v>
      </c>
      <c r="F241" s="4">
        <f t="shared" si="3"/>
        <v>3687.04</v>
      </c>
      <c r="G241" s="3" t="s">
        <v>26</v>
      </c>
      <c r="H241" s="5">
        <v>46183</v>
      </c>
      <c r="I241" s="3" t="str">
        <f>TEXT(Table1[[#This Row],[Date]],"mmm")</f>
        <v>Jun</v>
      </c>
    </row>
    <row r="242" spans="1:9" x14ac:dyDescent="0.3">
      <c r="A242" s="3" t="s">
        <v>276</v>
      </c>
      <c r="B242" s="3" t="s">
        <v>31</v>
      </c>
      <c r="C242" s="3" t="s">
        <v>13</v>
      </c>
      <c r="D242" s="3">
        <v>1</v>
      </c>
      <c r="E242" s="4">
        <v>17312.16</v>
      </c>
      <c r="F242" s="4">
        <f t="shared" si="3"/>
        <v>17312.16</v>
      </c>
      <c r="G242" s="3" t="s">
        <v>22</v>
      </c>
      <c r="H242" s="5">
        <v>46031</v>
      </c>
      <c r="I242" s="3" t="str">
        <f>TEXT(Table1[[#This Row],[Date]],"mmm")</f>
        <v>Jan</v>
      </c>
    </row>
    <row r="243" spans="1:9" x14ac:dyDescent="0.3">
      <c r="A243" s="3" t="s">
        <v>277</v>
      </c>
      <c r="B243" s="3" t="s">
        <v>16</v>
      </c>
      <c r="C243" s="3" t="s">
        <v>17</v>
      </c>
      <c r="D243" s="3">
        <v>3</v>
      </c>
      <c r="E243" s="4">
        <v>470.91</v>
      </c>
      <c r="F243" s="4">
        <f t="shared" si="3"/>
        <v>1412.73</v>
      </c>
      <c r="G243" s="3" t="s">
        <v>18</v>
      </c>
      <c r="H243" s="5">
        <v>46098</v>
      </c>
      <c r="I243" s="3" t="str">
        <f>TEXT(Table1[[#This Row],[Date]],"mmm")</f>
        <v>Mar</v>
      </c>
    </row>
    <row r="244" spans="1:9" x14ac:dyDescent="0.3">
      <c r="A244" s="3" t="s">
        <v>278</v>
      </c>
      <c r="B244" s="3" t="s">
        <v>55</v>
      </c>
      <c r="C244" s="3" t="s">
        <v>25</v>
      </c>
      <c r="D244" s="3">
        <v>4</v>
      </c>
      <c r="E244" s="4">
        <v>2336.88</v>
      </c>
      <c r="F244" s="4">
        <f t="shared" si="3"/>
        <v>9347.52</v>
      </c>
      <c r="G244" s="3" t="s">
        <v>26</v>
      </c>
      <c r="H244" s="5">
        <v>46161</v>
      </c>
      <c r="I244" s="3" t="str">
        <f>TEXT(Table1[[#This Row],[Date]],"mmm")</f>
        <v>May</v>
      </c>
    </row>
    <row r="245" spans="1:9" x14ac:dyDescent="0.3">
      <c r="A245" s="3" t="s">
        <v>279</v>
      </c>
      <c r="B245" s="3" t="s">
        <v>55</v>
      </c>
      <c r="C245" s="3" t="s">
        <v>25</v>
      </c>
      <c r="D245" s="3">
        <v>5</v>
      </c>
      <c r="E245" s="4">
        <v>2499.9</v>
      </c>
      <c r="F245" s="4">
        <f t="shared" si="3"/>
        <v>12499.5</v>
      </c>
      <c r="G245" s="3" t="s">
        <v>10</v>
      </c>
      <c r="H245" s="5">
        <v>46065</v>
      </c>
      <c r="I245" s="3" t="str">
        <f>TEXT(Table1[[#This Row],[Date]],"mmm")</f>
        <v>Feb</v>
      </c>
    </row>
    <row r="246" spans="1:9" x14ac:dyDescent="0.3">
      <c r="A246" s="3" t="s">
        <v>280</v>
      </c>
      <c r="B246" s="3" t="s">
        <v>24</v>
      </c>
      <c r="C246" s="3" t="s">
        <v>25</v>
      </c>
      <c r="D246" s="3">
        <v>4</v>
      </c>
      <c r="E246" s="4">
        <v>873.69</v>
      </c>
      <c r="F246" s="4">
        <f t="shared" si="3"/>
        <v>3494.76</v>
      </c>
      <c r="G246" s="3" t="s">
        <v>10</v>
      </c>
      <c r="H246" s="5">
        <v>46109</v>
      </c>
      <c r="I246" s="3" t="str">
        <f>TEXT(Table1[[#This Row],[Date]],"mmm")</f>
        <v>Mar</v>
      </c>
    </row>
    <row r="247" spans="1:9" x14ac:dyDescent="0.3">
      <c r="A247" s="3" t="s">
        <v>281</v>
      </c>
      <c r="B247" s="3" t="s">
        <v>62</v>
      </c>
      <c r="C247" s="3" t="s">
        <v>25</v>
      </c>
      <c r="D247" s="3">
        <v>1</v>
      </c>
      <c r="E247" s="4">
        <v>1986.34</v>
      </c>
      <c r="F247" s="4">
        <f t="shared" si="3"/>
        <v>1986.34</v>
      </c>
      <c r="G247" s="3" t="s">
        <v>18</v>
      </c>
      <c r="H247" s="5">
        <v>46059</v>
      </c>
      <c r="I247" s="3" t="str">
        <f>TEXT(Table1[[#This Row],[Date]],"mmm")</f>
        <v>Feb</v>
      </c>
    </row>
    <row r="248" spans="1:9" x14ac:dyDescent="0.3">
      <c r="A248" s="3" t="s">
        <v>282</v>
      </c>
      <c r="B248" s="3" t="s">
        <v>62</v>
      </c>
      <c r="C248" s="3" t="s">
        <v>25</v>
      </c>
      <c r="D248" s="3">
        <v>2</v>
      </c>
      <c r="E248" s="4">
        <v>2142.98</v>
      </c>
      <c r="F248" s="4">
        <f t="shared" si="3"/>
        <v>4285.96</v>
      </c>
      <c r="G248" s="3" t="s">
        <v>48</v>
      </c>
      <c r="H248" s="5">
        <v>46165</v>
      </c>
      <c r="I248" s="3" t="str">
        <f>TEXT(Table1[[#This Row],[Date]],"mmm")</f>
        <v>May</v>
      </c>
    </row>
    <row r="249" spans="1:9" x14ac:dyDescent="0.3">
      <c r="A249" s="3" t="s">
        <v>283</v>
      </c>
      <c r="B249" s="3" t="s">
        <v>55</v>
      </c>
      <c r="C249" s="3" t="s">
        <v>25</v>
      </c>
      <c r="D249" s="3">
        <v>1</v>
      </c>
      <c r="E249" s="4">
        <v>2644.28</v>
      </c>
      <c r="F249" s="4">
        <f t="shared" si="3"/>
        <v>2644.28</v>
      </c>
      <c r="G249" s="3" t="s">
        <v>46</v>
      </c>
      <c r="H249" s="5">
        <v>46090</v>
      </c>
      <c r="I249" s="3" t="str">
        <f>TEXT(Table1[[#This Row],[Date]],"mmm")</f>
        <v>Mar</v>
      </c>
    </row>
    <row r="250" spans="1:9" x14ac:dyDescent="0.3">
      <c r="A250" s="3" t="s">
        <v>284</v>
      </c>
      <c r="B250" s="3" t="s">
        <v>80</v>
      </c>
      <c r="C250" s="3" t="s">
        <v>39</v>
      </c>
      <c r="D250" s="3">
        <v>1</v>
      </c>
      <c r="E250" s="4">
        <v>4162.0200000000004</v>
      </c>
      <c r="F250" s="4">
        <f t="shared" si="3"/>
        <v>4162.0200000000004</v>
      </c>
      <c r="G250" s="3" t="s">
        <v>10</v>
      </c>
      <c r="H250" s="5">
        <v>46172</v>
      </c>
      <c r="I250" s="3" t="str">
        <f>TEXT(Table1[[#This Row],[Date]],"mmm")</f>
        <v>May</v>
      </c>
    </row>
    <row r="251" spans="1:9" x14ac:dyDescent="0.3">
      <c r="A251" s="3" t="s">
        <v>285</v>
      </c>
      <c r="B251" s="3" t="s">
        <v>28</v>
      </c>
      <c r="C251" s="3" t="s">
        <v>9</v>
      </c>
      <c r="D251" s="3">
        <v>3</v>
      </c>
      <c r="E251" s="4">
        <v>4607.42</v>
      </c>
      <c r="F251" s="4">
        <f t="shared" si="3"/>
        <v>13822.26</v>
      </c>
      <c r="G251" s="3" t="s">
        <v>29</v>
      </c>
      <c r="H251" s="5">
        <v>46143</v>
      </c>
      <c r="I251" s="3" t="str">
        <f>TEXT(Table1[[#This Row],[Date]],"mmm")</f>
        <v>May</v>
      </c>
    </row>
    <row r="252" spans="1:9" x14ac:dyDescent="0.3">
      <c r="A252" s="3" t="s">
        <v>286</v>
      </c>
      <c r="B252" s="3" t="s">
        <v>91</v>
      </c>
      <c r="C252" s="3" t="s">
        <v>13</v>
      </c>
      <c r="D252" s="3">
        <v>5</v>
      </c>
      <c r="E252" s="4">
        <v>59226.58</v>
      </c>
      <c r="F252" s="4">
        <f t="shared" si="3"/>
        <v>296132.90000000002</v>
      </c>
      <c r="G252" s="3" t="s">
        <v>14</v>
      </c>
      <c r="H252" s="5">
        <v>46106</v>
      </c>
      <c r="I252" s="3" t="str">
        <f>TEXT(Table1[[#This Row],[Date]],"mmm")</f>
        <v>Mar</v>
      </c>
    </row>
    <row r="253" spans="1:9" x14ac:dyDescent="0.3">
      <c r="A253" s="3" t="s">
        <v>287</v>
      </c>
      <c r="B253" s="3" t="s">
        <v>16</v>
      </c>
      <c r="C253" s="3" t="s">
        <v>17</v>
      </c>
      <c r="D253" s="3">
        <v>2</v>
      </c>
      <c r="E253" s="4">
        <v>463.29</v>
      </c>
      <c r="F253" s="4">
        <f t="shared" si="3"/>
        <v>926.58</v>
      </c>
      <c r="G253" s="3" t="s">
        <v>22</v>
      </c>
      <c r="H253" s="5">
        <v>46202</v>
      </c>
      <c r="I253" s="3" t="str">
        <f>TEXT(Table1[[#This Row],[Date]],"mmm")</f>
        <v>Jun</v>
      </c>
    </row>
    <row r="254" spans="1:9" x14ac:dyDescent="0.3">
      <c r="A254" s="3" t="s">
        <v>288</v>
      </c>
      <c r="B254" s="3" t="s">
        <v>24</v>
      </c>
      <c r="C254" s="3" t="s">
        <v>25</v>
      </c>
      <c r="D254" s="3">
        <v>4</v>
      </c>
      <c r="E254" s="4">
        <v>737.74</v>
      </c>
      <c r="F254" s="4">
        <f t="shared" si="3"/>
        <v>2950.96</v>
      </c>
      <c r="G254" s="3" t="s">
        <v>46</v>
      </c>
      <c r="H254" s="5">
        <v>46032</v>
      </c>
      <c r="I254" s="3" t="str">
        <f>TEXT(Table1[[#This Row],[Date]],"mmm")</f>
        <v>Jan</v>
      </c>
    </row>
    <row r="255" spans="1:9" x14ac:dyDescent="0.3">
      <c r="A255" s="3" t="s">
        <v>289</v>
      </c>
      <c r="B255" s="3" t="s">
        <v>24</v>
      </c>
      <c r="C255" s="3" t="s">
        <v>25</v>
      </c>
      <c r="D255" s="3">
        <v>4</v>
      </c>
      <c r="E255" s="4">
        <v>737.66</v>
      </c>
      <c r="F255" s="4">
        <f t="shared" si="3"/>
        <v>2950.64</v>
      </c>
      <c r="G255" s="3" t="s">
        <v>29</v>
      </c>
      <c r="H255" s="5">
        <v>46160</v>
      </c>
      <c r="I255" s="3" t="str">
        <f>TEXT(Table1[[#This Row],[Date]],"mmm")</f>
        <v>May</v>
      </c>
    </row>
    <row r="256" spans="1:9" x14ac:dyDescent="0.3">
      <c r="A256" s="3" t="s">
        <v>290</v>
      </c>
      <c r="B256" s="3" t="s">
        <v>72</v>
      </c>
      <c r="C256" s="3" t="s">
        <v>13</v>
      </c>
      <c r="D256" s="3">
        <v>4</v>
      </c>
      <c r="E256" s="4">
        <v>2179.6</v>
      </c>
      <c r="F256" s="4">
        <f t="shared" si="3"/>
        <v>8718.4</v>
      </c>
      <c r="G256" s="3" t="s">
        <v>14</v>
      </c>
      <c r="H256" s="5">
        <v>46130</v>
      </c>
      <c r="I256" s="3" t="str">
        <f>TEXT(Table1[[#This Row],[Date]],"mmm")</f>
        <v>Apr</v>
      </c>
    </row>
    <row r="257" spans="1:9" x14ac:dyDescent="0.3">
      <c r="A257" s="3" t="s">
        <v>291</v>
      </c>
      <c r="B257" s="3" t="s">
        <v>16</v>
      </c>
      <c r="C257" s="3" t="s">
        <v>17</v>
      </c>
      <c r="D257" s="3">
        <v>2</v>
      </c>
      <c r="E257" s="4">
        <v>484.69</v>
      </c>
      <c r="F257" s="4">
        <f t="shared" si="3"/>
        <v>969.38</v>
      </c>
      <c r="G257" s="3" t="s">
        <v>18</v>
      </c>
      <c r="H257" s="5">
        <v>46148</v>
      </c>
      <c r="I257" s="3" t="str">
        <f>TEXT(Table1[[#This Row],[Date]],"mmm")</f>
        <v>May</v>
      </c>
    </row>
    <row r="258" spans="1:9" x14ac:dyDescent="0.3">
      <c r="A258" s="3" t="s">
        <v>292</v>
      </c>
      <c r="B258" s="3" t="s">
        <v>16</v>
      </c>
      <c r="C258" s="3" t="s">
        <v>17</v>
      </c>
      <c r="D258" s="3">
        <v>4</v>
      </c>
      <c r="E258" s="4">
        <v>489.51</v>
      </c>
      <c r="F258" s="4">
        <f t="shared" si="3"/>
        <v>1958.04</v>
      </c>
      <c r="G258" s="3" t="s">
        <v>10</v>
      </c>
      <c r="H258" s="5">
        <v>46031</v>
      </c>
      <c r="I258" s="3" t="str">
        <f>TEXT(Table1[[#This Row],[Date]],"mmm")</f>
        <v>Jan</v>
      </c>
    </row>
    <row r="259" spans="1:9" x14ac:dyDescent="0.3">
      <c r="A259" s="3" t="s">
        <v>293</v>
      </c>
      <c r="B259" s="3" t="s">
        <v>21</v>
      </c>
      <c r="C259" s="3" t="s">
        <v>13</v>
      </c>
      <c r="D259" s="3">
        <v>3</v>
      </c>
      <c r="E259" s="4">
        <v>26416.71</v>
      </c>
      <c r="F259" s="4">
        <f t="shared" ref="F259:F322" si="4">D259*E259</f>
        <v>79250.13</v>
      </c>
      <c r="G259" s="3" t="s">
        <v>22</v>
      </c>
      <c r="H259" s="5">
        <v>46083</v>
      </c>
      <c r="I259" s="3" t="str">
        <f>TEXT(Table1[[#This Row],[Date]],"mmm")</f>
        <v>Mar</v>
      </c>
    </row>
    <row r="260" spans="1:9" x14ac:dyDescent="0.3">
      <c r="A260" s="3" t="s">
        <v>294</v>
      </c>
      <c r="B260" s="3" t="s">
        <v>38</v>
      </c>
      <c r="C260" s="3" t="s">
        <v>39</v>
      </c>
      <c r="D260" s="3">
        <v>3</v>
      </c>
      <c r="E260" s="4">
        <v>5979.16</v>
      </c>
      <c r="F260" s="4">
        <f t="shared" si="4"/>
        <v>17937.48</v>
      </c>
      <c r="G260" s="3" t="s">
        <v>32</v>
      </c>
      <c r="H260" s="5">
        <v>46162</v>
      </c>
      <c r="I260" s="3" t="str">
        <f>TEXT(Table1[[#This Row],[Date]],"mmm")</f>
        <v>May</v>
      </c>
    </row>
    <row r="261" spans="1:9" x14ac:dyDescent="0.3">
      <c r="A261" s="3" t="s">
        <v>295</v>
      </c>
      <c r="B261" s="3" t="s">
        <v>8</v>
      </c>
      <c r="C261" s="3" t="s">
        <v>9</v>
      </c>
      <c r="D261" s="3">
        <v>3</v>
      </c>
      <c r="E261" s="4">
        <v>1641.8</v>
      </c>
      <c r="F261" s="4">
        <f t="shared" si="4"/>
        <v>4925.3999999999996</v>
      </c>
      <c r="G261" s="3" t="s">
        <v>10</v>
      </c>
      <c r="H261" s="5">
        <v>46071</v>
      </c>
      <c r="I261" s="3" t="str">
        <f>TEXT(Table1[[#This Row],[Date]],"mmm")</f>
        <v>Feb</v>
      </c>
    </row>
    <row r="262" spans="1:9" x14ac:dyDescent="0.3">
      <c r="A262" s="3" t="s">
        <v>296</v>
      </c>
      <c r="B262" s="3" t="s">
        <v>31</v>
      </c>
      <c r="C262" s="3" t="s">
        <v>13</v>
      </c>
      <c r="D262" s="3">
        <v>4</v>
      </c>
      <c r="E262" s="4">
        <v>16530.02</v>
      </c>
      <c r="F262" s="4">
        <f t="shared" si="4"/>
        <v>66120.08</v>
      </c>
      <c r="G262" s="3" t="s">
        <v>29</v>
      </c>
      <c r="H262" s="5">
        <v>46187</v>
      </c>
      <c r="I262" s="3" t="str">
        <f>TEXT(Table1[[#This Row],[Date]],"mmm")</f>
        <v>Jun</v>
      </c>
    </row>
    <row r="263" spans="1:9" x14ac:dyDescent="0.3">
      <c r="A263" s="3" t="s">
        <v>297</v>
      </c>
      <c r="B263" s="3" t="s">
        <v>8</v>
      </c>
      <c r="C263" s="3" t="s">
        <v>9</v>
      </c>
      <c r="D263" s="3">
        <v>5</v>
      </c>
      <c r="E263" s="4">
        <v>1969.59</v>
      </c>
      <c r="F263" s="4">
        <f t="shared" si="4"/>
        <v>9847.9499999999989</v>
      </c>
      <c r="G263" s="3" t="s">
        <v>46</v>
      </c>
      <c r="H263" s="5">
        <v>46108</v>
      </c>
      <c r="I263" s="3" t="str">
        <f>TEXT(Table1[[#This Row],[Date]],"mmm")</f>
        <v>Mar</v>
      </c>
    </row>
    <row r="264" spans="1:9" x14ac:dyDescent="0.3">
      <c r="A264" s="3" t="s">
        <v>298</v>
      </c>
      <c r="B264" s="3" t="s">
        <v>12</v>
      </c>
      <c r="C264" s="3" t="s">
        <v>13</v>
      </c>
      <c r="D264" s="3">
        <v>2</v>
      </c>
      <c r="E264" s="4">
        <v>1586.09</v>
      </c>
      <c r="F264" s="4">
        <f t="shared" si="4"/>
        <v>3172.18</v>
      </c>
      <c r="G264" s="3" t="s">
        <v>29</v>
      </c>
      <c r="H264" s="5">
        <v>46040</v>
      </c>
      <c r="I264" s="3" t="str">
        <f>TEXT(Table1[[#This Row],[Date]],"mmm")</f>
        <v>Jan</v>
      </c>
    </row>
    <row r="265" spans="1:9" x14ac:dyDescent="0.3">
      <c r="A265" s="3" t="s">
        <v>299</v>
      </c>
      <c r="B265" s="3" t="s">
        <v>38</v>
      </c>
      <c r="C265" s="3" t="s">
        <v>39</v>
      </c>
      <c r="D265" s="3">
        <v>5</v>
      </c>
      <c r="E265" s="4">
        <v>6119.3</v>
      </c>
      <c r="F265" s="4">
        <f t="shared" si="4"/>
        <v>30596.5</v>
      </c>
      <c r="G265" s="3" t="s">
        <v>29</v>
      </c>
      <c r="H265" s="5">
        <v>46082</v>
      </c>
      <c r="I265" s="3" t="str">
        <f>TEXT(Table1[[#This Row],[Date]],"mmm")</f>
        <v>Mar</v>
      </c>
    </row>
    <row r="266" spans="1:9" x14ac:dyDescent="0.3">
      <c r="A266" s="3" t="s">
        <v>300</v>
      </c>
      <c r="B266" s="3" t="s">
        <v>55</v>
      </c>
      <c r="C266" s="3" t="s">
        <v>25</v>
      </c>
      <c r="D266" s="3">
        <v>2</v>
      </c>
      <c r="E266" s="4">
        <v>2643.26</v>
      </c>
      <c r="F266" s="4">
        <f t="shared" si="4"/>
        <v>5286.52</v>
      </c>
      <c r="G266" s="3" t="s">
        <v>50</v>
      </c>
      <c r="H266" s="5">
        <v>46023</v>
      </c>
      <c r="I266" s="3" t="str">
        <f>TEXT(Table1[[#This Row],[Date]],"mmm")</f>
        <v>Jan</v>
      </c>
    </row>
    <row r="267" spans="1:9" x14ac:dyDescent="0.3">
      <c r="A267" s="3" t="s">
        <v>301</v>
      </c>
      <c r="B267" s="3" t="s">
        <v>24</v>
      </c>
      <c r="C267" s="3" t="s">
        <v>25</v>
      </c>
      <c r="D267" s="3">
        <v>2</v>
      </c>
      <c r="E267" s="4">
        <v>876.91</v>
      </c>
      <c r="F267" s="4">
        <f t="shared" si="4"/>
        <v>1753.82</v>
      </c>
      <c r="G267" s="3" t="s">
        <v>14</v>
      </c>
      <c r="H267" s="5">
        <v>46087</v>
      </c>
      <c r="I267" s="3" t="str">
        <f>TEXT(Table1[[#This Row],[Date]],"mmm")</f>
        <v>Mar</v>
      </c>
    </row>
    <row r="268" spans="1:9" x14ac:dyDescent="0.3">
      <c r="A268" s="3" t="s">
        <v>302</v>
      </c>
      <c r="B268" s="3" t="s">
        <v>62</v>
      </c>
      <c r="C268" s="3" t="s">
        <v>25</v>
      </c>
      <c r="D268" s="3">
        <v>2</v>
      </c>
      <c r="E268" s="4">
        <v>1843.05</v>
      </c>
      <c r="F268" s="4">
        <f t="shared" si="4"/>
        <v>3686.1</v>
      </c>
      <c r="G268" s="3" t="s">
        <v>46</v>
      </c>
      <c r="H268" s="5">
        <v>46056</v>
      </c>
      <c r="I268" s="3" t="str">
        <f>TEXT(Table1[[#This Row],[Date]],"mmm")</f>
        <v>Feb</v>
      </c>
    </row>
    <row r="269" spans="1:9" x14ac:dyDescent="0.3">
      <c r="A269" s="3" t="s">
        <v>303</v>
      </c>
      <c r="B269" s="3" t="s">
        <v>91</v>
      </c>
      <c r="C269" s="3" t="s">
        <v>13</v>
      </c>
      <c r="D269" s="3">
        <v>3</v>
      </c>
      <c r="E269" s="4">
        <v>58189.83</v>
      </c>
      <c r="F269" s="4">
        <f t="shared" si="4"/>
        <v>174569.49</v>
      </c>
      <c r="G269" s="3" t="s">
        <v>29</v>
      </c>
      <c r="H269" s="5">
        <v>46173</v>
      </c>
      <c r="I269" s="3" t="str">
        <f>TEXT(Table1[[#This Row],[Date]],"mmm")</f>
        <v>May</v>
      </c>
    </row>
    <row r="270" spans="1:9" x14ac:dyDescent="0.3">
      <c r="A270" s="3" t="s">
        <v>304</v>
      </c>
      <c r="B270" s="3" t="s">
        <v>55</v>
      </c>
      <c r="C270" s="3" t="s">
        <v>25</v>
      </c>
      <c r="D270" s="3">
        <v>1</v>
      </c>
      <c r="E270" s="4">
        <v>2336.19</v>
      </c>
      <c r="F270" s="4">
        <f t="shared" si="4"/>
        <v>2336.19</v>
      </c>
      <c r="G270" s="3" t="s">
        <v>46</v>
      </c>
      <c r="H270" s="5">
        <v>46055</v>
      </c>
      <c r="I270" s="3" t="str">
        <f>TEXT(Table1[[#This Row],[Date]],"mmm")</f>
        <v>Feb</v>
      </c>
    </row>
    <row r="271" spans="1:9" x14ac:dyDescent="0.3">
      <c r="A271" s="3" t="s">
        <v>305</v>
      </c>
      <c r="B271" s="3" t="s">
        <v>21</v>
      </c>
      <c r="C271" s="3" t="s">
        <v>13</v>
      </c>
      <c r="D271" s="3">
        <v>4</v>
      </c>
      <c r="E271" s="4">
        <v>28146.080000000002</v>
      </c>
      <c r="F271" s="4">
        <f t="shared" si="4"/>
        <v>112584.32000000001</v>
      </c>
      <c r="G271" s="3" t="s">
        <v>18</v>
      </c>
      <c r="H271" s="5">
        <v>46144</v>
      </c>
      <c r="I271" s="3" t="str">
        <f>TEXT(Table1[[#This Row],[Date]],"mmm")</f>
        <v>May</v>
      </c>
    </row>
    <row r="272" spans="1:9" x14ac:dyDescent="0.3">
      <c r="A272" s="3" t="s">
        <v>306</v>
      </c>
      <c r="B272" s="3" t="s">
        <v>44</v>
      </c>
      <c r="C272" s="3" t="s">
        <v>39</v>
      </c>
      <c r="D272" s="3">
        <v>3</v>
      </c>
      <c r="E272" s="4">
        <v>3509.27</v>
      </c>
      <c r="F272" s="4">
        <f t="shared" si="4"/>
        <v>10527.81</v>
      </c>
      <c r="G272" s="3" t="s">
        <v>18</v>
      </c>
      <c r="H272" s="5">
        <v>46138</v>
      </c>
      <c r="I272" s="3" t="str">
        <f>TEXT(Table1[[#This Row],[Date]],"mmm")</f>
        <v>Apr</v>
      </c>
    </row>
    <row r="273" spans="1:9" x14ac:dyDescent="0.3">
      <c r="A273" s="3" t="s">
        <v>307</v>
      </c>
      <c r="B273" s="3" t="s">
        <v>80</v>
      </c>
      <c r="C273" s="3" t="s">
        <v>39</v>
      </c>
      <c r="D273" s="3">
        <v>2</v>
      </c>
      <c r="E273" s="4">
        <v>4574.1499999999996</v>
      </c>
      <c r="F273" s="4">
        <f t="shared" si="4"/>
        <v>9148.2999999999993</v>
      </c>
      <c r="G273" s="3" t="s">
        <v>46</v>
      </c>
      <c r="H273" s="5">
        <v>46191</v>
      </c>
      <c r="I273" s="3" t="str">
        <f>TEXT(Table1[[#This Row],[Date]],"mmm")</f>
        <v>Jun</v>
      </c>
    </row>
    <row r="274" spans="1:9" x14ac:dyDescent="0.3">
      <c r="A274" s="3" t="s">
        <v>308</v>
      </c>
      <c r="B274" s="3" t="s">
        <v>80</v>
      </c>
      <c r="C274" s="3" t="s">
        <v>39</v>
      </c>
      <c r="D274" s="3">
        <v>3</v>
      </c>
      <c r="E274" s="4">
        <v>4164.76</v>
      </c>
      <c r="F274" s="4">
        <f t="shared" si="4"/>
        <v>12494.28</v>
      </c>
      <c r="G274" s="3" t="s">
        <v>46</v>
      </c>
      <c r="H274" s="5">
        <v>46038</v>
      </c>
      <c r="I274" s="3" t="str">
        <f>TEXT(Table1[[#This Row],[Date]],"mmm")</f>
        <v>Jan</v>
      </c>
    </row>
    <row r="275" spans="1:9" x14ac:dyDescent="0.3">
      <c r="A275" s="3" t="s">
        <v>309</v>
      </c>
      <c r="B275" s="3" t="s">
        <v>44</v>
      </c>
      <c r="C275" s="3" t="s">
        <v>39</v>
      </c>
      <c r="D275" s="3">
        <v>4</v>
      </c>
      <c r="E275" s="4">
        <v>3448.39</v>
      </c>
      <c r="F275" s="4">
        <f t="shared" si="4"/>
        <v>13793.56</v>
      </c>
      <c r="G275" s="3" t="s">
        <v>18</v>
      </c>
      <c r="H275" s="5">
        <v>46148</v>
      </c>
      <c r="I275" s="3" t="str">
        <f>TEXT(Table1[[#This Row],[Date]],"mmm")</f>
        <v>May</v>
      </c>
    </row>
    <row r="276" spans="1:9" x14ac:dyDescent="0.3">
      <c r="A276" s="3" t="s">
        <v>310</v>
      </c>
      <c r="B276" s="3" t="s">
        <v>21</v>
      </c>
      <c r="C276" s="3" t="s">
        <v>13</v>
      </c>
      <c r="D276" s="3">
        <v>4</v>
      </c>
      <c r="E276" s="4">
        <v>25611.55</v>
      </c>
      <c r="F276" s="4">
        <f t="shared" si="4"/>
        <v>102446.2</v>
      </c>
      <c r="G276" s="3" t="s">
        <v>18</v>
      </c>
      <c r="H276" s="5">
        <v>46105</v>
      </c>
      <c r="I276" s="3" t="str">
        <f>TEXT(Table1[[#This Row],[Date]],"mmm")</f>
        <v>Mar</v>
      </c>
    </row>
    <row r="277" spans="1:9" x14ac:dyDescent="0.3">
      <c r="A277" s="3" t="s">
        <v>311</v>
      </c>
      <c r="B277" s="3" t="s">
        <v>16</v>
      </c>
      <c r="C277" s="3" t="s">
        <v>17</v>
      </c>
      <c r="D277" s="3">
        <v>2</v>
      </c>
      <c r="E277" s="4">
        <v>410.91</v>
      </c>
      <c r="F277" s="4">
        <f t="shared" si="4"/>
        <v>821.82</v>
      </c>
      <c r="G277" s="3" t="s">
        <v>10</v>
      </c>
      <c r="H277" s="5">
        <v>46182</v>
      </c>
      <c r="I277" s="3" t="str">
        <f>TEXT(Table1[[#This Row],[Date]],"mmm")</f>
        <v>Jun</v>
      </c>
    </row>
    <row r="278" spans="1:9" x14ac:dyDescent="0.3">
      <c r="A278" s="3" t="s">
        <v>312</v>
      </c>
      <c r="B278" s="3" t="s">
        <v>8</v>
      </c>
      <c r="C278" s="3" t="s">
        <v>9</v>
      </c>
      <c r="D278" s="3">
        <v>5</v>
      </c>
      <c r="E278" s="4">
        <v>1817.41</v>
      </c>
      <c r="F278" s="4">
        <f t="shared" si="4"/>
        <v>9087.0500000000011</v>
      </c>
      <c r="G278" s="3" t="s">
        <v>32</v>
      </c>
      <c r="H278" s="5">
        <v>46120</v>
      </c>
      <c r="I278" s="3" t="str">
        <f>TEXT(Table1[[#This Row],[Date]],"mmm")</f>
        <v>Apr</v>
      </c>
    </row>
    <row r="279" spans="1:9" x14ac:dyDescent="0.3">
      <c r="A279" s="3" t="s">
        <v>313</v>
      </c>
      <c r="B279" s="3" t="s">
        <v>16</v>
      </c>
      <c r="C279" s="3" t="s">
        <v>17</v>
      </c>
      <c r="D279" s="3">
        <v>5</v>
      </c>
      <c r="E279" s="4">
        <v>431.54</v>
      </c>
      <c r="F279" s="4">
        <f t="shared" si="4"/>
        <v>2157.7000000000003</v>
      </c>
      <c r="G279" s="3" t="s">
        <v>14</v>
      </c>
      <c r="H279" s="5">
        <v>46177</v>
      </c>
      <c r="I279" s="3" t="str">
        <f>TEXT(Table1[[#This Row],[Date]],"mmm")</f>
        <v>Jun</v>
      </c>
    </row>
    <row r="280" spans="1:9" x14ac:dyDescent="0.3">
      <c r="A280" s="3" t="s">
        <v>314</v>
      </c>
      <c r="B280" s="3" t="s">
        <v>28</v>
      </c>
      <c r="C280" s="3" t="s">
        <v>9</v>
      </c>
      <c r="D280" s="3">
        <v>1</v>
      </c>
      <c r="E280" s="4">
        <v>5292.04</v>
      </c>
      <c r="F280" s="4">
        <f t="shared" si="4"/>
        <v>5292.04</v>
      </c>
      <c r="G280" s="3" t="s">
        <v>18</v>
      </c>
      <c r="H280" s="5">
        <v>46190</v>
      </c>
      <c r="I280" s="3" t="str">
        <f>TEXT(Table1[[#This Row],[Date]],"mmm")</f>
        <v>Jun</v>
      </c>
    </row>
    <row r="281" spans="1:9" x14ac:dyDescent="0.3">
      <c r="A281" s="3" t="s">
        <v>315</v>
      </c>
      <c r="B281" s="3" t="s">
        <v>8</v>
      </c>
      <c r="C281" s="3" t="s">
        <v>9</v>
      </c>
      <c r="D281" s="3">
        <v>5</v>
      </c>
      <c r="E281" s="4">
        <v>1879.5</v>
      </c>
      <c r="F281" s="4">
        <f t="shared" si="4"/>
        <v>9397.5</v>
      </c>
      <c r="G281" s="3" t="s">
        <v>29</v>
      </c>
      <c r="H281" s="5">
        <v>46133</v>
      </c>
      <c r="I281" s="3" t="str">
        <f>TEXT(Table1[[#This Row],[Date]],"mmm")</f>
        <v>Apr</v>
      </c>
    </row>
    <row r="282" spans="1:9" x14ac:dyDescent="0.3">
      <c r="A282" s="3" t="s">
        <v>316</v>
      </c>
      <c r="B282" s="3" t="s">
        <v>44</v>
      </c>
      <c r="C282" s="3" t="s">
        <v>39</v>
      </c>
      <c r="D282" s="3">
        <v>2</v>
      </c>
      <c r="E282" s="4">
        <v>3439.67</v>
      </c>
      <c r="F282" s="4">
        <f t="shared" si="4"/>
        <v>6879.34</v>
      </c>
      <c r="G282" s="3" t="s">
        <v>22</v>
      </c>
      <c r="H282" s="5">
        <v>46125</v>
      </c>
      <c r="I282" s="3" t="str">
        <f>TEXT(Table1[[#This Row],[Date]],"mmm")</f>
        <v>Apr</v>
      </c>
    </row>
    <row r="283" spans="1:9" x14ac:dyDescent="0.3">
      <c r="A283" s="3" t="s">
        <v>317</v>
      </c>
      <c r="B283" s="3" t="s">
        <v>28</v>
      </c>
      <c r="C283" s="3" t="s">
        <v>9</v>
      </c>
      <c r="D283" s="3">
        <v>1</v>
      </c>
      <c r="E283" s="4">
        <v>4811.59</v>
      </c>
      <c r="F283" s="4">
        <f t="shared" si="4"/>
        <v>4811.59</v>
      </c>
      <c r="G283" s="3" t="s">
        <v>32</v>
      </c>
      <c r="H283" s="5">
        <v>46193</v>
      </c>
      <c r="I283" s="3" t="str">
        <f>TEXT(Table1[[#This Row],[Date]],"mmm")</f>
        <v>Jun</v>
      </c>
    </row>
    <row r="284" spans="1:9" x14ac:dyDescent="0.3">
      <c r="A284" s="3" t="s">
        <v>318</v>
      </c>
      <c r="B284" s="3" t="s">
        <v>24</v>
      </c>
      <c r="C284" s="3" t="s">
        <v>25</v>
      </c>
      <c r="D284" s="3">
        <v>3</v>
      </c>
      <c r="E284" s="4">
        <v>871.48</v>
      </c>
      <c r="F284" s="4">
        <f t="shared" si="4"/>
        <v>2614.44</v>
      </c>
      <c r="G284" s="3" t="s">
        <v>22</v>
      </c>
      <c r="H284" s="5">
        <v>46040</v>
      </c>
      <c r="I284" s="3" t="str">
        <f>TEXT(Table1[[#This Row],[Date]],"mmm")</f>
        <v>Jan</v>
      </c>
    </row>
    <row r="285" spans="1:9" x14ac:dyDescent="0.3">
      <c r="A285" s="3" t="s">
        <v>319</v>
      </c>
      <c r="B285" s="3" t="s">
        <v>31</v>
      </c>
      <c r="C285" s="3" t="s">
        <v>13</v>
      </c>
      <c r="D285" s="3">
        <v>1</v>
      </c>
      <c r="E285" s="4">
        <v>16535.63</v>
      </c>
      <c r="F285" s="4">
        <f t="shared" si="4"/>
        <v>16535.63</v>
      </c>
      <c r="G285" s="3" t="s">
        <v>18</v>
      </c>
      <c r="H285" s="5">
        <v>46118</v>
      </c>
      <c r="I285" s="3" t="str">
        <f>TEXT(Table1[[#This Row],[Date]],"mmm")</f>
        <v>Apr</v>
      </c>
    </row>
    <row r="286" spans="1:9" x14ac:dyDescent="0.3">
      <c r="A286" s="3" t="s">
        <v>320</v>
      </c>
      <c r="B286" s="3" t="s">
        <v>62</v>
      </c>
      <c r="C286" s="3" t="s">
        <v>25</v>
      </c>
      <c r="D286" s="3">
        <v>2</v>
      </c>
      <c r="E286" s="4">
        <v>2021.54</v>
      </c>
      <c r="F286" s="4">
        <f t="shared" si="4"/>
        <v>4043.08</v>
      </c>
      <c r="G286" s="3" t="s">
        <v>50</v>
      </c>
      <c r="H286" s="5">
        <v>46166</v>
      </c>
      <c r="I286" s="3" t="str">
        <f>TEXT(Table1[[#This Row],[Date]],"mmm")</f>
        <v>May</v>
      </c>
    </row>
    <row r="287" spans="1:9" x14ac:dyDescent="0.3">
      <c r="A287" s="3" t="s">
        <v>321</v>
      </c>
      <c r="B287" s="3" t="s">
        <v>80</v>
      </c>
      <c r="C287" s="3" t="s">
        <v>39</v>
      </c>
      <c r="D287" s="3">
        <v>3</v>
      </c>
      <c r="E287" s="4">
        <v>4342.8100000000004</v>
      </c>
      <c r="F287" s="4">
        <f t="shared" si="4"/>
        <v>13028.43</v>
      </c>
      <c r="G287" s="3" t="s">
        <v>48</v>
      </c>
      <c r="H287" s="5">
        <v>46113</v>
      </c>
      <c r="I287" s="3" t="str">
        <f>TEXT(Table1[[#This Row],[Date]],"mmm")</f>
        <v>Apr</v>
      </c>
    </row>
    <row r="288" spans="1:9" x14ac:dyDescent="0.3">
      <c r="A288" s="3" t="s">
        <v>322</v>
      </c>
      <c r="B288" s="3" t="s">
        <v>38</v>
      </c>
      <c r="C288" s="3" t="s">
        <v>39</v>
      </c>
      <c r="D288" s="3">
        <v>4</v>
      </c>
      <c r="E288" s="4">
        <v>6978.52</v>
      </c>
      <c r="F288" s="4">
        <f t="shared" si="4"/>
        <v>27914.080000000002</v>
      </c>
      <c r="G288" s="3" t="s">
        <v>46</v>
      </c>
      <c r="H288" s="5">
        <v>46096</v>
      </c>
      <c r="I288" s="3" t="str">
        <f>TEXT(Table1[[#This Row],[Date]],"mmm")</f>
        <v>Mar</v>
      </c>
    </row>
    <row r="289" spans="1:9" x14ac:dyDescent="0.3">
      <c r="A289" s="3" t="s">
        <v>323</v>
      </c>
      <c r="B289" s="3" t="s">
        <v>16</v>
      </c>
      <c r="C289" s="3" t="s">
        <v>17</v>
      </c>
      <c r="D289" s="3">
        <v>3</v>
      </c>
      <c r="E289" s="4">
        <v>436.65</v>
      </c>
      <c r="F289" s="4">
        <f t="shared" si="4"/>
        <v>1309.9499999999998</v>
      </c>
      <c r="G289" s="3" t="s">
        <v>50</v>
      </c>
      <c r="H289" s="5">
        <v>46152</v>
      </c>
      <c r="I289" s="3" t="str">
        <f>TEXT(Table1[[#This Row],[Date]],"mmm")</f>
        <v>May</v>
      </c>
    </row>
    <row r="290" spans="1:9" x14ac:dyDescent="0.3">
      <c r="A290" s="3" t="s">
        <v>324</v>
      </c>
      <c r="B290" s="3" t="s">
        <v>12</v>
      </c>
      <c r="C290" s="3" t="s">
        <v>13</v>
      </c>
      <c r="D290" s="3">
        <v>2</v>
      </c>
      <c r="E290" s="4">
        <v>1547.02</v>
      </c>
      <c r="F290" s="4">
        <f t="shared" si="4"/>
        <v>3094.04</v>
      </c>
      <c r="G290" s="3" t="s">
        <v>29</v>
      </c>
      <c r="H290" s="5">
        <v>46050</v>
      </c>
      <c r="I290" s="3" t="str">
        <f>TEXT(Table1[[#This Row],[Date]],"mmm")</f>
        <v>Jan</v>
      </c>
    </row>
    <row r="291" spans="1:9" x14ac:dyDescent="0.3">
      <c r="A291" s="3" t="s">
        <v>325</v>
      </c>
      <c r="B291" s="3" t="s">
        <v>55</v>
      </c>
      <c r="C291" s="3" t="s">
        <v>25</v>
      </c>
      <c r="D291" s="3">
        <v>5</v>
      </c>
      <c r="E291" s="4">
        <v>2432.81</v>
      </c>
      <c r="F291" s="4">
        <f t="shared" si="4"/>
        <v>12164.05</v>
      </c>
      <c r="G291" s="3" t="s">
        <v>10</v>
      </c>
      <c r="H291" s="5">
        <v>46169</v>
      </c>
      <c r="I291" s="3" t="str">
        <f>TEXT(Table1[[#This Row],[Date]],"mmm")</f>
        <v>May</v>
      </c>
    </row>
    <row r="292" spans="1:9" x14ac:dyDescent="0.3">
      <c r="A292" s="3" t="s">
        <v>326</v>
      </c>
      <c r="B292" s="3" t="s">
        <v>12</v>
      </c>
      <c r="C292" s="3" t="s">
        <v>13</v>
      </c>
      <c r="D292" s="3">
        <v>4</v>
      </c>
      <c r="E292" s="4">
        <v>1603.55</v>
      </c>
      <c r="F292" s="4">
        <f t="shared" si="4"/>
        <v>6414.2</v>
      </c>
      <c r="G292" s="3" t="s">
        <v>50</v>
      </c>
      <c r="H292" s="5">
        <v>46180</v>
      </c>
      <c r="I292" s="3" t="str">
        <f>TEXT(Table1[[#This Row],[Date]],"mmm")</f>
        <v>Jun</v>
      </c>
    </row>
    <row r="293" spans="1:9" x14ac:dyDescent="0.3">
      <c r="A293" s="3" t="s">
        <v>327</v>
      </c>
      <c r="B293" s="3" t="s">
        <v>8</v>
      </c>
      <c r="C293" s="3" t="s">
        <v>9</v>
      </c>
      <c r="D293" s="3">
        <v>5</v>
      </c>
      <c r="E293" s="4">
        <v>1629.45</v>
      </c>
      <c r="F293" s="4">
        <f t="shared" si="4"/>
        <v>8147.25</v>
      </c>
      <c r="G293" s="3" t="s">
        <v>10</v>
      </c>
      <c r="H293" s="5">
        <v>46030</v>
      </c>
      <c r="I293" s="3" t="str">
        <f>TEXT(Table1[[#This Row],[Date]],"mmm")</f>
        <v>Jan</v>
      </c>
    </row>
    <row r="294" spans="1:9" x14ac:dyDescent="0.3">
      <c r="A294" s="3" t="s">
        <v>328</v>
      </c>
      <c r="B294" s="3" t="s">
        <v>72</v>
      </c>
      <c r="C294" s="3" t="s">
        <v>13</v>
      </c>
      <c r="D294" s="3">
        <v>3</v>
      </c>
      <c r="E294" s="4">
        <v>2289.19</v>
      </c>
      <c r="F294" s="4">
        <f t="shared" si="4"/>
        <v>6867.57</v>
      </c>
      <c r="G294" s="3" t="s">
        <v>10</v>
      </c>
      <c r="H294" s="5">
        <v>46109</v>
      </c>
      <c r="I294" s="3" t="str">
        <f>TEXT(Table1[[#This Row],[Date]],"mmm")</f>
        <v>Mar</v>
      </c>
    </row>
    <row r="295" spans="1:9" x14ac:dyDescent="0.3">
      <c r="A295" s="3" t="s">
        <v>329</v>
      </c>
      <c r="B295" s="3" t="s">
        <v>55</v>
      </c>
      <c r="C295" s="3" t="s">
        <v>25</v>
      </c>
      <c r="D295" s="3">
        <v>1</v>
      </c>
      <c r="E295" s="4">
        <v>2339.77</v>
      </c>
      <c r="F295" s="4">
        <f t="shared" si="4"/>
        <v>2339.77</v>
      </c>
      <c r="G295" s="3" t="s">
        <v>26</v>
      </c>
      <c r="H295" s="5">
        <v>46167</v>
      </c>
      <c r="I295" s="3" t="str">
        <f>TEXT(Table1[[#This Row],[Date]],"mmm")</f>
        <v>May</v>
      </c>
    </row>
    <row r="296" spans="1:9" x14ac:dyDescent="0.3">
      <c r="A296" s="3" t="s">
        <v>330</v>
      </c>
      <c r="B296" s="3" t="s">
        <v>8</v>
      </c>
      <c r="C296" s="3" t="s">
        <v>9</v>
      </c>
      <c r="D296" s="3">
        <v>4</v>
      </c>
      <c r="E296" s="4">
        <v>1645.05</v>
      </c>
      <c r="F296" s="4">
        <f t="shared" si="4"/>
        <v>6580.2</v>
      </c>
      <c r="G296" s="3" t="s">
        <v>46</v>
      </c>
      <c r="H296" s="5">
        <v>46046</v>
      </c>
      <c r="I296" s="3" t="str">
        <f>TEXT(Table1[[#This Row],[Date]],"mmm")</f>
        <v>Jan</v>
      </c>
    </row>
    <row r="297" spans="1:9" x14ac:dyDescent="0.3">
      <c r="A297" s="3" t="s">
        <v>331</v>
      </c>
      <c r="B297" s="3" t="s">
        <v>21</v>
      </c>
      <c r="C297" s="3" t="s">
        <v>13</v>
      </c>
      <c r="D297" s="3">
        <v>5</v>
      </c>
      <c r="E297" s="4">
        <v>26404.74</v>
      </c>
      <c r="F297" s="4">
        <f t="shared" si="4"/>
        <v>132023.70000000001</v>
      </c>
      <c r="G297" s="3" t="s">
        <v>48</v>
      </c>
      <c r="H297" s="5">
        <v>46139</v>
      </c>
      <c r="I297" s="3" t="str">
        <f>TEXT(Table1[[#This Row],[Date]],"mmm")</f>
        <v>Apr</v>
      </c>
    </row>
    <row r="298" spans="1:9" x14ac:dyDescent="0.3">
      <c r="A298" s="3" t="s">
        <v>332</v>
      </c>
      <c r="B298" s="3" t="s">
        <v>55</v>
      </c>
      <c r="C298" s="3" t="s">
        <v>25</v>
      </c>
      <c r="D298" s="3">
        <v>2</v>
      </c>
      <c r="E298" s="4">
        <v>2434.0500000000002</v>
      </c>
      <c r="F298" s="4">
        <f t="shared" si="4"/>
        <v>4868.1000000000004</v>
      </c>
      <c r="G298" s="3" t="s">
        <v>32</v>
      </c>
      <c r="H298" s="5">
        <v>46168</v>
      </c>
      <c r="I298" s="3" t="str">
        <f>TEXT(Table1[[#This Row],[Date]],"mmm")</f>
        <v>May</v>
      </c>
    </row>
    <row r="299" spans="1:9" x14ac:dyDescent="0.3">
      <c r="A299" s="3" t="s">
        <v>333</v>
      </c>
      <c r="B299" s="3" t="s">
        <v>16</v>
      </c>
      <c r="C299" s="3" t="s">
        <v>17</v>
      </c>
      <c r="D299" s="3">
        <v>1</v>
      </c>
      <c r="E299" s="4">
        <v>484.5</v>
      </c>
      <c r="F299" s="4">
        <f t="shared" si="4"/>
        <v>484.5</v>
      </c>
      <c r="G299" s="3" t="s">
        <v>26</v>
      </c>
      <c r="H299" s="5">
        <v>46063</v>
      </c>
      <c r="I299" s="3" t="str">
        <f>TEXT(Table1[[#This Row],[Date]],"mmm")</f>
        <v>Feb</v>
      </c>
    </row>
    <row r="300" spans="1:9" x14ac:dyDescent="0.3">
      <c r="A300" s="3" t="s">
        <v>334</v>
      </c>
      <c r="B300" s="3" t="s">
        <v>62</v>
      </c>
      <c r="C300" s="3" t="s">
        <v>25</v>
      </c>
      <c r="D300" s="3">
        <v>5</v>
      </c>
      <c r="E300" s="4">
        <v>1819</v>
      </c>
      <c r="F300" s="4">
        <f t="shared" si="4"/>
        <v>9095</v>
      </c>
      <c r="G300" s="3" t="s">
        <v>18</v>
      </c>
      <c r="H300" s="5">
        <v>46092</v>
      </c>
      <c r="I300" s="3" t="str">
        <f>TEXT(Table1[[#This Row],[Date]],"mmm")</f>
        <v>Mar</v>
      </c>
    </row>
    <row r="301" spans="1:9" x14ac:dyDescent="0.3">
      <c r="A301" s="3" t="s">
        <v>335</v>
      </c>
      <c r="B301" s="3" t="s">
        <v>44</v>
      </c>
      <c r="C301" s="3" t="s">
        <v>39</v>
      </c>
      <c r="D301" s="3">
        <v>4</v>
      </c>
      <c r="E301" s="4">
        <v>3489.96</v>
      </c>
      <c r="F301" s="4">
        <f t="shared" si="4"/>
        <v>13959.84</v>
      </c>
      <c r="G301" s="3" t="s">
        <v>22</v>
      </c>
      <c r="H301" s="5">
        <v>46129</v>
      </c>
      <c r="I301" s="3" t="str">
        <f>TEXT(Table1[[#This Row],[Date]],"mmm")</f>
        <v>Apr</v>
      </c>
    </row>
    <row r="302" spans="1:9" x14ac:dyDescent="0.3">
      <c r="A302" s="3" t="s">
        <v>336</v>
      </c>
      <c r="B302" s="3" t="s">
        <v>24</v>
      </c>
      <c r="C302" s="3" t="s">
        <v>25</v>
      </c>
      <c r="D302" s="3">
        <v>2</v>
      </c>
      <c r="E302" s="4">
        <v>839.74</v>
      </c>
      <c r="F302" s="4">
        <f t="shared" si="4"/>
        <v>1679.48</v>
      </c>
      <c r="G302" s="3" t="s">
        <v>18</v>
      </c>
      <c r="H302" s="5">
        <v>46111</v>
      </c>
      <c r="I302" s="3" t="str">
        <f>TEXT(Table1[[#This Row],[Date]],"mmm")</f>
        <v>Mar</v>
      </c>
    </row>
    <row r="303" spans="1:9" x14ac:dyDescent="0.3">
      <c r="A303" s="3" t="s">
        <v>337</v>
      </c>
      <c r="B303" s="3" t="s">
        <v>28</v>
      </c>
      <c r="C303" s="3" t="s">
        <v>9</v>
      </c>
      <c r="D303" s="3">
        <v>1</v>
      </c>
      <c r="E303" s="4">
        <v>4782.29</v>
      </c>
      <c r="F303" s="4">
        <f t="shared" si="4"/>
        <v>4782.29</v>
      </c>
      <c r="G303" s="3" t="s">
        <v>50</v>
      </c>
      <c r="H303" s="5">
        <v>46147</v>
      </c>
      <c r="I303" s="3" t="str">
        <f>TEXT(Table1[[#This Row],[Date]],"mmm")</f>
        <v>May</v>
      </c>
    </row>
    <row r="304" spans="1:9" x14ac:dyDescent="0.3">
      <c r="A304" s="3" t="s">
        <v>338</v>
      </c>
      <c r="B304" s="3" t="s">
        <v>80</v>
      </c>
      <c r="C304" s="3" t="s">
        <v>39</v>
      </c>
      <c r="D304" s="3">
        <v>3</v>
      </c>
      <c r="E304" s="4">
        <v>3818.15</v>
      </c>
      <c r="F304" s="4">
        <f t="shared" si="4"/>
        <v>11454.45</v>
      </c>
      <c r="G304" s="3" t="s">
        <v>48</v>
      </c>
      <c r="H304" s="5">
        <v>46176</v>
      </c>
      <c r="I304" s="3" t="str">
        <f>TEXT(Table1[[#This Row],[Date]],"mmm")</f>
        <v>Jun</v>
      </c>
    </row>
    <row r="305" spans="1:9" x14ac:dyDescent="0.3">
      <c r="A305" s="3" t="s">
        <v>339</v>
      </c>
      <c r="B305" s="3" t="s">
        <v>91</v>
      </c>
      <c r="C305" s="3" t="s">
        <v>13</v>
      </c>
      <c r="D305" s="3">
        <v>1</v>
      </c>
      <c r="E305" s="4">
        <v>51748.65</v>
      </c>
      <c r="F305" s="4">
        <f t="shared" si="4"/>
        <v>51748.65</v>
      </c>
      <c r="G305" s="3" t="s">
        <v>29</v>
      </c>
      <c r="H305" s="5">
        <v>46058</v>
      </c>
      <c r="I305" s="3" t="str">
        <f>TEXT(Table1[[#This Row],[Date]],"mmm")</f>
        <v>Feb</v>
      </c>
    </row>
    <row r="306" spans="1:9" x14ac:dyDescent="0.3">
      <c r="A306" s="3" t="s">
        <v>340</v>
      </c>
      <c r="B306" s="3" t="s">
        <v>62</v>
      </c>
      <c r="C306" s="3" t="s">
        <v>25</v>
      </c>
      <c r="D306" s="3">
        <v>3</v>
      </c>
      <c r="E306" s="4">
        <v>1914.82</v>
      </c>
      <c r="F306" s="4">
        <f t="shared" si="4"/>
        <v>5744.46</v>
      </c>
      <c r="G306" s="3" t="s">
        <v>18</v>
      </c>
      <c r="H306" s="5">
        <v>46024</v>
      </c>
      <c r="I306" s="3" t="str">
        <f>TEXT(Table1[[#This Row],[Date]],"mmm")</f>
        <v>Jan</v>
      </c>
    </row>
    <row r="307" spans="1:9" x14ac:dyDescent="0.3">
      <c r="A307" s="3" t="s">
        <v>341</v>
      </c>
      <c r="B307" s="3" t="s">
        <v>44</v>
      </c>
      <c r="C307" s="3" t="s">
        <v>39</v>
      </c>
      <c r="D307" s="3">
        <v>4</v>
      </c>
      <c r="E307" s="4">
        <v>3272.99</v>
      </c>
      <c r="F307" s="4">
        <f t="shared" si="4"/>
        <v>13091.96</v>
      </c>
      <c r="G307" s="3" t="s">
        <v>48</v>
      </c>
      <c r="H307" s="5">
        <v>46159</v>
      </c>
      <c r="I307" s="3" t="str">
        <f>TEXT(Table1[[#This Row],[Date]],"mmm")</f>
        <v>May</v>
      </c>
    </row>
    <row r="308" spans="1:9" x14ac:dyDescent="0.3">
      <c r="A308" s="3" t="s">
        <v>342</v>
      </c>
      <c r="B308" s="3" t="s">
        <v>21</v>
      </c>
      <c r="C308" s="3" t="s">
        <v>13</v>
      </c>
      <c r="D308" s="3">
        <v>2</v>
      </c>
      <c r="E308" s="4">
        <v>28001.47</v>
      </c>
      <c r="F308" s="4">
        <f t="shared" si="4"/>
        <v>56002.94</v>
      </c>
      <c r="G308" s="3" t="s">
        <v>32</v>
      </c>
      <c r="H308" s="5">
        <v>46041</v>
      </c>
      <c r="I308" s="3" t="str">
        <f>TEXT(Table1[[#This Row],[Date]],"mmm")</f>
        <v>Jan</v>
      </c>
    </row>
    <row r="309" spans="1:9" x14ac:dyDescent="0.3">
      <c r="A309" s="3" t="s">
        <v>343</v>
      </c>
      <c r="B309" s="3" t="s">
        <v>28</v>
      </c>
      <c r="C309" s="3" t="s">
        <v>9</v>
      </c>
      <c r="D309" s="3">
        <v>1</v>
      </c>
      <c r="E309" s="4">
        <v>4935.2299999999996</v>
      </c>
      <c r="F309" s="4">
        <f t="shared" si="4"/>
        <v>4935.2299999999996</v>
      </c>
      <c r="G309" s="3" t="s">
        <v>22</v>
      </c>
      <c r="H309" s="5">
        <v>46042</v>
      </c>
      <c r="I309" s="3" t="str">
        <f>TEXT(Table1[[#This Row],[Date]],"mmm")</f>
        <v>Jan</v>
      </c>
    </row>
    <row r="310" spans="1:9" x14ac:dyDescent="0.3">
      <c r="A310" s="3" t="s">
        <v>344</v>
      </c>
      <c r="B310" s="3" t="s">
        <v>38</v>
      </c>
      <c r="C310" s="3" t="s">
        <v>39</v>
      </c>
      <c r="D310" s="3">
        <v>3</v>
      </c>
      <c r="E310" s="4">
        <v>6598.49</v>
      </c>
      <c r="F310" s="4">
        <f t="shared" si="4"/>
        <v>19795.47</v>
      </c>
      <c r="G310" s="3" t="s">
        <v>50</v>
      </c>
      <c r="H310" s="5">
        <v>46126</v>
      </c>
      <c r="I310" s="3" t="str">
        <f>TEXT(Table1[[#This Row],[Date]],"mmm")</f>
        <v>Apr</v>
      </c>
    </row>
    <row r="311" spans="1:9" x14ac:dyDescent="0.3">
      <c r="A311" s="3" t="s">
        <v>345</v>
      </c>
      <c r="B311" s="3" t="s">
        <v>21</v>
      </c>
      <c r="C311" s="3" t="s">
        <v>13</v>
      </c>
      <c r="D311" s="3">
        <v>4</v>
      </c>
      <c r="E311" s="4">
        <v>26821.29</v>
      </c>
      <c r="F311" s="4">
        <f t="shared" si="4"/>
        <v>107285.16</v>
      </c>
      <c r="G311" s="3" t="s">
        <v>48</v>
      </c>
      <c r="H311" s="5">
        <v>46028</v>
      </c>
      <c r="I311" s="3" t="str">
        <f>TEXT(Table1[[#This Row],[Date]],"mmm")</f>
        <v>Jan</v>
      </c>
    </row>
    <row r="312" spans="1:9" x14ac:dyDescent="0.3">
      <c r="A312" s="3" t="s">
        <v>346</v>
      </c>
      <c r="B312" s="3" t="s">
        <v>55</v>
      </c>
      <c r="C312" s="3" t="s">
        <v>25</v>
      </c>
      <c r="D312" s="3">
        <v>2</v>
      </c>
      <c r="E312" s="4">
        <v>2649.6</v>
      </c>
      <c r="F312" s="4">
        <f t="shared" si="4"/>
        <v>5299.2</v>
      </c>
      <c r="G312" s="3" t="s">
        <v>50</v>
      </c>
      <c r="H312" s="5">
        <v>46140</v>
      </c>
      <c r="I312" s="3" t="str">
        <f>TEXT(Table1[[#This Row],[Date]],"mmm")</f>
        <v>Apr</v>
      </c>
    </row>
    <row r="313" spans="1:9" x14ac:dyDescent="0.3">
      <c r="A313" s="3" t="s">
        <v>347</v>
      </c>
      <c r="B313" s="3" t="s">
        <v>38</v>
      </c>
      <c r="C313" s="3" t="s">
        <v>39</v>
      </c>
      <c r="D313" s="3">
        <v>3</v>
      </c>
      <c r="E313" s="4">
        <v>5964.57</v>
      </c>
      <c r="F313" s="4">
        <f t="shared" si="4"/>
        <v>17893.71</v>
      </c>
      <c r="G313" s="3" t="s">
        <v>18</v>
      </c>
      <c r="H313" s="5">
        <v>46085</v>
      </c>
      <c r="I313" s="3" t="str">
        <f>TEXT(Table1[[#This Row],[Date]],"mmm")</f>
        <v>Mar</v>
      </c>
    </row>
    <row r="314" spans="1:9" x14ac:dyDescent="0.3">
      <c r="A314" s="3" t="s">
        <v>348</v>
      </c>
      <c r="B314" s="3" t="s">
        <v>28</v>
      </c>
      <c r="C314" s="3" t="s">
        <v>9</v>
      </c>
      <c r="D314" s="3">
        <v>5</v>
      </c>
      <c r="E314" s="4">
        <v>4899.47</v>
      </c>
      <c r="F314" s="4">
        <f t="shared" si="4"/>
        <v>24497.350000000002</v>
      </c>
      <c r="G314" s="3" t="s">
        <v>18</v>
      </c>
      <c r="H314" s="5">
        <v>46124</v>
      </c>
      <c r="I314" s="3" t="str">
        <f>TEXT(Table1[[#This Row],[Date]],"mmm")</f>
        <v>Apr</v>
      </c>
    </row>
    <row r="315" spans="1:9" x14ac:dyDescent="0.3">
      <c r="A315" s="3" t="s">
        <v>349</v>
      </c>
      <c r="B315" s="3" t="s">
        <v>38</v>
      </c>
      <c r="C315" s="3" t="s">
        <v>39</v>
      </c>
      <c r="D315" s="3">
        <v>3</v>
      </c>
      <c r="E315" s="4">
        <v>6819.55</v>
      </c>
      <c r="F315" s="4">
        <f t="shared" si="4"/>
        <v>20458.650000000001</v>
      </c>
      <c r="G315" s="3" t="s">
        <v>29</v>
      </c>
      <c r="H315" s="5">
        <v>46108</v>
      </c>
      <c r="I315" s="3" t="str">
        <f>TEXT(Table1[[#This Row],[Date]],"mmm")</f>
        <v>Mar</v>
      </c>
    </row>
    <row r="316" spans="1:9" x14ac:dyDescent="0.3">
      <c r="A316" s="3" t="s">
        <v>350</v>
      </c>
      <c r="B316" s="3" t="s">
        <v>62</v>
      </c>
      <c r="C316" s="3" t="s">
        <v>25</v>
      </c>
      <c r="D316" s="3">
        <v>2</v>
      </c>
      <c r="E316" s="4">
        <v>1829.64</v>
      </c>
      <c r="F316" s="4">
        <f t="shared" si="4"/>
        <v>3659.28</v>
      </c>
      <c r="G316" s="3" t="s">
        <v>18</v>
      </c>
      <c r="H316" s="5">
        <v>46158</v>
      </c>
      <c r="I316" s="3" t="str">
        <f>TEXT(Table1[[#This Row],[Date]],"mmm")</f>
        <v>May</v>
      </c>
    </row>
    <row r="317" spans="1:9" x14ac:dyDescent="0.3">
      <c r="A317" s="3" t="s">
        <v>351</v>
      </c>
      <c r="B317" s="3" t="s">
        <v>80</v>
      </c>
      <c r="C317" s="3" t="s">
        <v>39</v>
      </c>
      <c r="D317" s="3">
        <v>2</v>
      </c>
      <c r="E317" s="4">
        <v>4540.9799999999996</v>
      </c>
      <c r="F317" s="4">
        <f t="shared" si="4"/>
        <v>9081.9599999999991</v>
      </c>
      <c r="G317" s="3" t="s">
        <v>32</v>
      </c>
      <c r="H317" s="5">
        <v>46112</v>
      </c>
      <c r="I317" s="3" t="str">
        <f>TEXT(Table1[[#This Row],[Date]],"mmm")</f>
        <v>Mar</v>
      </c>
    </row>
    <row r="318" spans="1:9" x14ac:dyDescent="0.3">
      <c r="A318" s="3" t="s">
        <v>352</v>
      </c>
      <c r="B318" s="3" t="s">
        <v>21</v>
      </c>
      <c r="C318" s="3" t="s">
        <v>13</v>
      </c>
      <c r="D318" s="3">
        <v>2</v>
      </c>
      <c r="E318" s="4">
        <v>26523.11</v>
      </c>
      <c r="F318" s="4">
        <f t="shared" si="4"/>
        <v>53046.22</v>
      </c>
      <c r="G318" s="3" t="s">
        <v>26</v>
      </c>
      <c r="H318" s="5">
        <v>46088</v>
      </c>
      <c r="I318" s="3" t="str">
        <f>TEXT(Table1[[#This Row],[Date]],"mmm")</f>
        <v>Mar</v>
      </c>
    </row>
    <row r="319" spans="1:9" x14ac:dyDescent="0.3">
      <c r="A319" s="3" t="s">
        <v>353</v>
      </c>
      <c r="B319" s="3" t="s">
        <v>12</v>
      </c>
      <c r="C319" s="3" t="s">
        <v>13</v>
      </c>
      <c r="D319" s="3">
        <v>2</v>
      </c>
      <c r="E319" s="4">
        <v>1530.72</v>
      </c>
      <c r="F319" s="4">
        <f t="shared" si="4"/>
        <v>3061.44</v>
      </c>
      <c r="G319" s="3" t="s">
        <v>18</v>
      </c>
      <c r="H319" s="5">
        <v>46068</v>
      </c>
      <c r="I319" s="3" t="str">
        <f>TEXT(Table1[[#This Row],[Date]],"mmm")</f>
        <v>Feb</v>
      </c>
    </row>
    <row r="320" spans="1:9" x14ac:dyDescent="0.3">
      <c r="A320" s="3" t="s">
        <v>354</v>
      </c>
      <c r="B320" s="3" t="s">
        <v>62</v>
      </c>
      <c r="C320" s="3" t="s">
        <v>25</v>
      </c>
      <c r="D320" s="3">
        <v>4</v>
      </c>
      <c r="E320" s="4">
        <v>1984.59</v>
      </c>
      <c r="F320" s="4">
        <f t="shared" si="4"/>
        <v>7938.36</v>
      </c>
      <c r="G320" s="3" t="s">
        <v>50</v>
      </c>
      <c r="H320" s="5">
        <v>46171</v>
      </c>
      <c r="I320" s="3" t="str">
        <f>TEXT(Table1[[#This Row],[Date]],"mmm")</f>
        <v>May</v>
      </c>
    </row>
    <row r="321" spans="1:9" x14ac:dyDescent="0.3">
      <c r="A321" s="3" t="s">
        <v>355</v>
      </c>
      <c r="B321" s="3" t="s">
        <v>44</v>
      </c>
      <c r="C321" s="3" t="s">
        <v>39</v>
      </c>
      <c r="D321" s="3">
        <v>5</v>
      </c>
      <c r="E321" s="4">
        <v>3600.09</v>
      </c>
      <c r="F321" s="4">
        <f t="shared" si="4"/>
        <v>18000.45</v>
      </c>
      <c r="G321" s="3" t="s">
        <v>50</v>
      </c>
      <c r="H321" s="5">
        <v>46105</v>
      </c>
      <c r="I321" s="3" t="str">
        <f>TEXT(Table1[[#This Row],[Date]],"mmm")</f>
        <v>Mar</v>
      </c>
    </row>
    <row r="322" spans="1:9" x14ac:dyDescent="0.3">
      <c r="A322" s="3" t="s">
        <v>356</v>
      </c>
      <c r="B322" s="3" t="s">
        <v>38</v>
      </c>
      <c r="C322" s="3" t="s">
        <v>39</v>
      </c>
      <c r="D322" s="3">
        <v>3</v>
      </c>
      <c r="E322" s="4">
        <v>6046.24</v>
      </c>
      <c r="F322" s="4">
        <f t="shared" si="4"/>
        <v>18138.72</v>
      </c>
      <c r="G322" s="3" t="s">
        <v>18</v>
      </c>
      <c r="H322" s="5">
        <v>46143</v>
      </c>
      <c r="I322" s="3" t="str">
        <f>TEXT(Table1[[#This Row],[Date]],"mmm")</f>
        <v>May</v>
      </c>
    </row>
    <row r="323" spans="1:9" x14ac:dyDescent="0.3">
      <c r="A323" s="3" t="s">
        <v>357</v>
      </c>
      <c r="B323" s="3" t="s">
        <v>44</v>
      </c>
      <c r="C323" s="3" t="s">
        <v>39</v>
      </c>
      <c r="D323" s="3">
        <v>3</v>
      </c>
      <c r="E323" s="4">
        <v>3707.43</v>
      </c>
      <c r="F323" s="4">
        <f t="shared" ref="F323:F386" si="5">D323*E323</f>
        <v>11122.289999999999</v>
      </c>
      <c r="G323" s="3" t="s">
        <v>50</v>
      </c>
      <c r="H323" s="5">
        <v>46037</v>
      </c>
      <c r="I323" s="3" t="str">
        <f>TEXT(Table1[[#This Row],[Date]],"mmm")</f>
        <v>Jan</v>
      </c>
    </row>
    <row r="324" spans="1:9" x14ac:dyDescent="0.3">
      <c r="A324" s="3" t="s">
        <v>358</v>
      </c>
      <c r="B324" s="3" t="s">
        <v>55</v>
      </c>
      <c r="C324" s="3" t="s">
        <v>25</v>
      </c>
      <c r="D324" s="3">
        <v>5</v>
      </c>
      <c r="E324" s="4">
        <v>2286.1799999999998</v>
      </c>
      <c r="F324" s="4">
        <f t="shared" si="5"/>
        <v>11430.9</v>
      </c>
      <c r="G324" s="3" t="s">
        <v>22</v>
      </c>
      <c r="H324" s="5">
        <v>46138</v>
      </c>
      <c r="I324" s="3" t="str">
        <f>TEXT(Table1[[#This Row],[Date]],"mmm")</f>
        <v>Apr</v>
      </c>
    </row>
    <row r="325" spans="1:9" x14ac:dyDescent="0.3">
      <c r="A325" s="3" t="s">
        <v>359</v>
      </c>
      <c r="B325" s="3" t="s">
        <v>91</v>
      </c>
      <c r="C325" s="3" t="s">
        <v>13</v>
      </c>
      <c r="D325" s="3">
        <v>1</v>
      </c>
      <c r="E325" s="4">
        <v>53556.11</v>
      </c>
      <c r="F325" s="4">
        <f t="shared" si="5"/>
        <v>53556.11</v>
      </c>
      <c r="G325" s="3" t="s">
        <v>10</v>
      </c>
      <c r="H325" s="5">
        <v>46042</v>
      </c>
      <c r="I325" s="3" t="str">
        <f>TEXT(Table1[[#This Row],[Date]],"mmm")</f>
        <v>Jan</v>
      </c>
    </row>
    <row r="326" spans="1:9" x14ac:dyDescent="0.3">
      <c r="A326" s="3" t="s">
        <v>360</v>
      </c>
      <c r="B326" s="3" t="s">
        <v>8</v>
      </c>
      <c r="C326" s="3" t="s">
        <v>9</v>
      </c>
      <c r="D326" s="3">
        <v>1</v>
      </c>
      <c r="E326" s="4">
        <v>1841.4</v>
      </c>
      <c r="F326" s="4">
        <f t="shared" si="5"/>
        <v>1841.4</v>
      </c>
      <c r="G326" s="3" t="s">
        <v>14</v>
      </c>
      <c r="H326" s="5">
        <v>46121</v>
      </c>
      <c r="I326" s="3" t="str">
        <f>TEXT(Table1[[#This Row],[Date]],"mmm")</f>
        <v>Apr</v>
      </c>
    </row>
    <row r="327" spans="1:9" x14ac:dyDescent="0.3">
      <c r="A327" s="3" t="s">
        <v>361</v>
      </c>
      <c r="B327" s="3" t="s">
        <v>44</v>
      </c>
      <c r="C327" s="3" t="s">
        <v>39</v>
      </c>
      <c r="D327" s="3">
        <v>5</v>
      </c>
      <c r="E327" s="4">
        <v>3538.02</v>
      </c>
      <c r="F327" s="4">
        <f t="shared" si="5"/>
        <v>17690.099999999999</v>
      </c>
      <c r="G327" s="3" t="s">
        <v>46</v>
      </c>
      <c r="H327" s="5">
        <v>46138</v>
      </c>
      <c r="I327" s="3" t="str">
        <f>TEXT(Table1[[#This Row],[Date]],"mmm")</f>
        <v>Apr</v>
      </c>
    </row>
    <row r="328" spans="1:9" x14ac:dyDescent="0.3">
      <c r="A328" s="3" t="s">
        <v>362</v>
      </c>
      <c r="B328" s="3" t="s">
        <v>62</v>
      </c>
      <c r="C328" s="3" t="s">
        <v>25</v>
      </c>
      <c r="D328" s="3">
        <v>5</v>
      </c>
      <c r="E328" s="4">
        <v>2059.6999999999998</v>
      </c>
      <c r="F328" s="4">
        <f t="shared" si="5"/>
        <v>10298.5</v>
      </c>
      <c r="G328" s="3" t="s">
        <v>32</v>
      </c>
      <c r="H328" s="5">
        <v>46177</v>
      </c>
      <c r="I328" s="3" t="str">
        <f>TEXT(Table1[[#This Row],[Date]],"mmm")</f>
        <v>Jun</v>
      </c>
    </row>
    <row r="329" spans="1:9" x14ac:dyDescent="0.3">
      <c r="A329" s="3" t="s">
        <v>363</v>
      </c>
      <c r="B329" s="3" t="s">
        <v>44</v>
      </c>
      <c r="C329" s="3" t="s">
        <v>39</v>
      </c>
      <c r="D329" s="3">
        <v>5</v>
      </c>
      <c r="E329" s="4">
        <v>3255.6</v>
      </c>
      <c r="F329" s="4">
        <f t="shared" si="5"/>
        <v>16278</v>
      </c>
      <c r="G329" s="3" t="s">
        <v>46</v>
      </c>
      <c r="H329" s="5">
        <v>46138</v>
      </c>
      <c r="I329" s="3" t="str">
        <f>TEXT(Table1[[#This Row],[Date]],"mmm")</f>
        <v>Apr</v>
      </c>
    </row>
    <row r="330" spans="1:9" x14ac:dyDescent="0.3">
      <c r="A330" s="3" t="s">
        <v>364</v>
      </c>
      <c r="B330" s="3" t="s">
        <v>31</v>
      </c>
      <c r="C330" s="3" t="s">
        <v>13</v>
      </c>
      <c r="D330" s="3">
        <v>3</v>
      </c>
      <c r="E330" s="4">
        <v>19736.59</v>
      </c>
      <c r="F330" s="4">
        <f t="shared" si="5"/>
        <v>59209.770000000004</v>
      </c>
      <c r="G330" s="3" t="s">
        <v>18</v>
      </c>
      <c r="H330" s="5">
        <v>46152</v>
      </c>
      <c r="I330" s="3" t="str">
        <f>TEXT(Table1[[#This Row],[Date]],"mmm")</f>
        <v>May</v>
      </c>
    </row>
    <row r="331" spans="1:9" x14ac:dyDescent="0.3">
      <c r="A331" s="3" t="s">
        <v>365</v>
      </c>
      <c r="B331" s="3" t="s">
        <v>8</v>
      </c>
      <c r="C331" s="3" t="s">
        <v>9</v>
      </c>
      <c r="D331" s="3">
        <v>2</v>
      </c>
      <c r="E331" s="4">
        <v>1634.09</v>
      </c>
      <c r="F331" s="4">
        <f t="shared" si="5"/>
        <v>3268.18</v>
      </c>
      <c r="G331" s="3" t="s">
        <v>22</v>
      </c>
      <c r="H331" s="5">
        <v>46135</v>
      </c>
      <c r="I331" s="3" t="str">
        <f>TEXT(Table1[[#This Row],[Date]],"mmm")</f>
        <v>Apr</v>
      </c>
    </row>
    <row r="332" spans="1:9" x14ac:dyDescent="0.3">
      <c r="A332" s="3" t="s">
        <v>366</v>
      </c>
      <c r="B332" s="3" t="s">
        <v>80</v>
      </c>
      <c r="C332" s="3" t="s">
        <v>39</v>
      </c>
      <c r="D332" s="3">
        <v>5</v>
      </c>
      <c r="E332" s="4">
        <v>4292.24</v>
      </c>
      <c r="F332" s="4">
        <f t="shared" si="5"/>
        <v>21461.199999999997</v>
      </c>
      <c r="G332" s="3" t="s">
        <v>32</v>
      </c>
      <c r="H332" s="5">
        <v>46118</v>
      </c>
      <c r="I332" s="3" t="str">
        <f>TEXT(Table1[[#This Row],[Date]],"mmm")</f>
        <v>Apr</v>
      </c>
    </row>
    <row r="333" spans="1:9" x14ac:dyDescent="0.3">
      <c r="A333" s="3" t="s">
        <v>367</v>
      </c>
      <c r="B333" s="3" t="s">
        <v>24</v>
      </c>
      <c r="C333" s="3" t="s">
        <v>25</v>
      </c>
      <c r="D333" s="3">
        <v>4</v>
      </c>
      <c r="E333" s="4">
        <v>784.42</v>
      </c>
      <c r="F333" s="4">
        <f t="shared" si="5"/>
        <v>3137.68</v>
      </c>
      <c r="G333" s="3" t="s">
        <v>32</v>
      </c>
      <c r="H333" s="5">
        <v>46196</v>
      </c>
      <c r="I333" s="3" t="str">
        <f>TEXT(Table1[[#This Row],[Date]],"mmm")</f>
        <v>Jun</v>
      </c>
    </row>
    <row r="334" spans="1:9" x14ac:dyDescent="0.3">
      <c r="A334" s="3" t="s">
        <v>368</v>
      </c>
      <c r="B334" s="3" t="s">
        <v>16</v>
      </c>
      <c r="C334" s="3" t="s">
        <v>17</v>
      </c>
      <c r="D334" s="3">
        <v>1</v>
      </c>
      <c r="E334" s="4">
        <v>476.03</v>
      </c>
      <c r="F334" s="4">
        <f t="shared" si="5"/>
        <v>476.03</v>
      </c>
      <c r="G334" s="3" t="s">
        <v>32</v>
      </c>
      <c r="H334" s="5">
        <v>46039</v>
      </c>
      <c r="I334" s="3" t="str">
        <f>TEXT(Table1[[#This Row],[Date]],"mmm")</f>
        <v>Jan</v>
      </c>
    </row>
    <row r="335" spans="1:9" x14ac:dyDescent="0.3">
      <c r="A335" s="3" t="s">
        <v>369</v>
      </c>
      <c r="B335" s="3" t="s">
        <v>55</v>
      </c>
      <c r="C335" s="3" t="s">
        <v>25</v>
      </c>
      <c r="D335" s="3">
        <v>1</v>
      </c>
      <c r="E335" s="4">
        <v>2527.9699999999998</v>
      </c>
      <c r="F335" s="4">
        <f t="shared" si="5"/>
        <v>2527.9699999999998</v>
      </c>
      <c r="G335" s="3" t="s">
        <v>48</v>
      </c>
      <c r="H335" s="5">
        <v>46095</v>
      </c>
      <c r="I335" s="3" t="str">
        <f>TEXT(Table1[[#This Row],[Date]],"mmm")</f>
        <v>Mar</v>
      </c>
    </row>
    <row r="336" spans="1:9" x14ac:dyDescent="0.3">
      <c r="A336" s="3" t="s">
        <v>370</v>
      </c>
      <c r="B336" s="3" t="s">
        <v>24</v>
      </c>
      <c r="C336" s="3" t="s">
        <v>25</v>
      </c>
      <c r="D336" s="3">
        <v>5</v>
      </c>
      <c r="E336" s="4">
        <v>858.65</v>
      </c>
      <c r="F336" s="4">
        <f t="shared" si="5"/>
        <v>4293.25</v>
      </c>
      <c r="G336" s="3" t="s">
        <v>32</v>
      </c>
      <c r="H336" s="5">
        <v>46043</v>
      </c>
      <c r="I336" s="3" t="str">
        <f>TEXT(Table1[[#This Row],[Date]],"mmm")</f>
        <v>Jan</v>
      </c>
    </row>
    <row r="337" spans="1:9" x14ac:dyDescent="0.3">
      <c r="A337" s="3" t="s">
        <v>371</v>
      </c>
      <c r="B337" s="3" t="s">
        <v>16</v>
      </c>
      <c r="C337" s="3" t="s">
        <v>17</v>
      </c>
      <c r="D337" s="3">
        <v>2</v>
      </c>
      <c r="E337" s="4">
        <v>487.51</v>
      </c>
      <c r="F337" s="4">
        <f t="shared" si="5"/>
        <v>975.02</v>
      </c>
      <c r="G337" s="3" t="s">
        <v>10</v>
      </c>
      <c r="H337" s="5">
        <v>46190</v>
      </c>
      <c r="I337" s="3" t="str">
        <f>TEXT(Table1[[#This Row],[Date]],"mmm")</f>
        <v>Jun</v>
      </c>
    </row>
    <row r="338" spans="1:9" x14ac:dyDescent="0.3">
      <c r="A338" s="3" t="s">
        <v>372</v>
      </c>
      <c r="B338" s="3" t="s">
        <v>21</v>
      </c>
      <c r="C338" s="3" t="s">
        <v>13</v>
      </c>
      <c r="D338" s="3">
        <v>4</v>
      </c>
      <c r="E338" s="4">
        <v>25922.13</v>
      </c>
      <c r="F338" s="4">
        <f t="shared" si="5"/>
        <v>103688.52</v>
      </c>
      <c r="G338" s="3" t="s">
        <v>18</v>
      </c>
      <c r="H338" s="5">
        <v>46102</v>
      </c>
      <c r="I338" s="3" t="str">
        <f>TEXT(Table1[[#This Row],[Date]],"mmm")</f>
        <v>Mar</v>
      </c>
    </row>
    <row r="339" spans="1:9" x14ac:dyDescent="0.3">
      <c r="A339" s="3" t="s">
        <v>373</v>
      </c>
      <c r="B339" s="3" t="s">
        <v>80</v>
      </c>
      <c r="C339" s="3" t="s">
        <v>39</v>
      </c>
      <c r="D339" s="3">
        <v>4</v>
      </c>
      <c r="E339" s="4">
        <v>4320.53</v>
      </c>
      <c r="F339" s="4">
        <f t="shared" si="5"/>
        <v>17282.12</v>
      </c>
      <c r="G339" s="3" t="s">
        <v>32</v>
      </c>
      <c r="H339" s="5">
        <v>46055</v>
      </c>
      <c r="I339" s="3" t="str">
        <f>TEXT(Table1[[#This Row],[Date]],"mmm")</f>
        <v>Feb</v>
      </c>
    </row>
    <row r="340" spans="1:9" x14ac:dyDescent="0.3">
      <c r="A340" s="3" t="s">
        <v>374</v>
      </c>
      <c r="B340" s="3" t="s">
        <v>8</v>
      </c>
      <c r="C340" s="3" t="s">
        <v>9</v>
      </c>
      <c r="D340" s="3">
        <v>5</v>
      </c>
      <c r="E340" s="4">
        <v>1653.64</v>
      </c>
      <c r="F340" s="4">
        <f t="shared" si="5"/>
        <v>8268.2000000000007</v>
      </c>
      <c r="G340" s="3" t="s">
        <v>48</v>
      </c>
      <c r="H340" s="5">
        <v>46153</v>
      </c>
      <c r="I340" s="3" t="str">
        <f>TEXT(Table1[[#This Row],[Date]],"mmm")</f>
        <v>May</v>
      </c>
    </row>
    <row r="341" spans="1:9" x14ac:dyDescent="0.3">
      <c r="A341" s="3" t="s">
        <v>375</v>
      </c>
      <c r="B341" s="3" t="s">
        <v>55</v>
      </c>
      <c r="C341" s="3" t="s">
        <v>25</v>
      </c>
      <c r="D341" s="3">
        <v>1</v>
      </c>
      <c r="E341" s="4">
        <v>2430.33</v>
      </c>
      <c r="F341" s="4">
        <f t="shared" si="5"/>
        <v>2430.33</v>
      </c>
      <c r="G341" s="3" t="s">
        <v>26</v>
      </c>
      <c r="H341" s="5">
        <v>46077</v>
      </c>
      <c r="I341" s="3" t="str">
        <f>TEXT(Table1[[#This Row],[Date]],"mmm")</f>
        <v>Feb</v>
      </c>
    </row>
    <row r="342" spans="1:9" x14ac:dyDescent="0.3">
      <c r="A342" s="3" t="s">
        <v>376</v>
      </c>
      <c r="B342" s="3" t="s">
        <v>55</v>
      </c>
      <c r="C342" s="3" t="s">
        <v>25</v>
      </c>
      <c r="D342" s="3">
        <v>4</v>
      </c>
      <c r="E342" s="4">
        <v>2345.06</v>
      </c>
      <c r="F342" s="4">
        <f t="shared" si="5"/>
        <v>9380.24</v>
      </c>
      <c r="G342" s="3" t="s">
        <v>26</v>
      </c>
      <c r="H342" s="5">
        <v>46062</v>
      </c>
      <c r="I342" s="3" t="str">
        <f>TEXT(Table1[[#This Row],[Date]],"mmm")</f>
        <v>Feb</v>
      </c>
    </row>
    <row r="343" spans="1:9" x14ac:dyDescent="0.3">
      <c r="A343" s="3" t="s">
        <v>377</v>
      </c>
      <c r="B343" s="3" t="s">
        <v>31</v>
      </c>
      <c r="C343" s="3" t="s">
        <v>13</v>
      </c>
      <c r="D343" s="3">
        <v>3</v>
      </c>
      <c r="E343" s="4">
        <v>19239.939999999999</v>
      </c>
      <c r="F343" s="4">
        <f t="shared" si="5"/>
        <v>57719.819999999992</v>
      </c>
      <c r="G343" s="3" t="s">
        <v>18</v>
      </c>
      <c r="H343" s="5">
        <v>46152</v>
      </c>
      <c r="I343" s="3" t="str">
        <f>TEXT(Table1[[#This Row],[Date]],"mmm")</f>
        <v>May</v>
      </c>
    </row>
    <row r="344" spans="1:9" x14ac:dyDescent="0.3">
      <c r="A344" s="3" t="s">
        <v>378</v>
      </c>
      <c r="B344" s="3" t="s">
        <v>62</v>
      </c>
      <c r="C344" s="3" t="s">
        <v>25</v>
      </c>
      <c r="D344" s="3">
        <v>5</v>
      </c>
      <c r="E344" s="4">
        <v>2132.98</v>
      </c>
      <c r="F344" s="4">
        <f t="shared" si="5"/>
        <v>10664.9</v>
      </c>
      <c r="G344" s="3" t="s">
        <v>14</v>
      </c>
      <c r="H344" s="5">
        <v>46032</v>
      </c>
      <c r="I344" s="3" t="str">
        <f>TEXT(Table1[[#This Row],[Date]],"mmm")</f>
        <v>Jan</v>
      </c>
    </row>
    <row r="345" spans="1:9" x14ac:dyDescent="0.3">
      <c r="A345" s="3" t="s">
        <v>379</v>
      </c>
      <c r="B345" s="3" t="s">
        <v>8</v>
      </c>
      <c r="C345" s="3" t="s">
        <v>9</v>
      </c>
      <c r="D345" s="3">
        <v>3</v>
      </c>
      <c r="E345" s="4">
        <v>1935.5</v>
      </c>
      <c r="F345" s="4">
        <f t="shared" si="5"/>
        <v>5806.5</v>
      </c>
      <c r="G345" s="3" t="s">
        <v>50</v>
      </c>
      <c r="H345" s="5">
        <v>46056</v>
      </c>
      <c r="I345" s="3" t="str">
        <f>TEXT(Table1[[#This Row],[Date]],"mmm")</f>
        <v>Feb</v>
      </c>
    </row>
    <row r="346" spans="1:9" x14ac:dyDescent="0.3">
      <c r="A346" s="3" t="s">
        <v>380</v>
      </c>
      <c r="B346" s="3" t="s">
        <v>16</v>
      </c>
      <c r="C346" s="3" t="s">
        <v>17</v>
      </c>
      <c r="D346" s="3">
        <v>4</v>
      </c>
      <c r="E346" s="4">
        <v>418.88</v>
      </c>
      <c r="F346" s="4">
        <f t="shared" si="5"/>
        <v>1675.52</v>
      </c>
      <c r="G346" s="3" t="s">
        <v>26</v>
      </c>
      <c r="H346" s="5">
        <v>46200</v>
      </c>
      <c r="I346" s="3" t="str">
        <f>TEXT(Table1[[#This Row],[Date]],"mmm")</f>
        <v>Jun</v>
      </c>
    </row>
    <row r="347" spans="1:9" x14ac:dyDescent="0.3">
      <c r="A347" s="3" t="s">
        <v>381</v>
      </c>
      <c r="B347" s="3" t="s">
        <v>62</v>
      </c>
      <c r="C347" s="3" t="s">
        <v>25</v>
      </c>
      <c r="D347" s="3">
        <v>5</v>
      </c>
      <c r="E347" s="4">
        <v>2122.56</v>
      </c>
      <c r="F347" s="4">
        <f t="shared" si="5"/>
        <v>10612.8</v>
      </c>
      <c r="G347" s="3" t="s">
        <v>26</v>
      </c>
      <c r="H347" s="5">
        <v>46135</v>
      </c>
      <c r="I347" s="3" t="str">
        <f>TEXT(Table1[[#This Row],[Date]],"mmm")</f>
        <v>Apr</v>
      </c>
    </row>
    <row r="348" spans="1:9" x14ac:dyDescent="0.3">
      <c r="A348" s="3" t="s">
        <v>382</v>
      </c>
      <c r="B348" s="3" t="s">
        <v>91</v>
      </c>
      <c r="C348" s="3" t="s">
        <v>13</v>
      </c>
      <c r="D348" s="3">
        <v>4</v>
      </c>
      <c r="E348" s="4">
        <v>53507.29</v>
      </c>
      <c r="F348" s="4">
        <f t="shared" si="5"/>
        <v>214029.16</v>
      </c>
      <c r="G348" s="3" t="s">
        <v>29</v>
      </c>
      <c r="H348" s="5">
        <v>46136</v>
      </c>
      <c r="I348" s="3" t="str">
        <f>TEXT(Table1[[#This Row],[Date]],"mmm")</f>
        <v>Apr</v>
      </c>
    </row>
    <row r="349" spans="1:9" x14ac:dyDescent="0.3">
      <c r="A349" s="3" t="s">
        <v>383</v>
      </c>
      <c r="B349" s="3" t="s">
        <v>16</v>
      </c>
      <c r="C349" s="3" t="s">
        <v>17</v>
      </c>
      <c r="D349" s="3">
        <v>3</v>
      </c>
      <c r="E349" s="4">
        <v>472.72</v>
      </c>
      <c r="F349" s="4">
        <f t="shared" si="5"/>
        <v>1418.16</v>
      </c>
      <c r="G349" s="3" t="s">
        <v>22</v>
      </c>
      <c r="H349" s="5">
        <v>46082</v>
      </c>
      <c r="I349" s="3" t="str">
        <f>TEXT(Table1[[#This Row],[Date]],"mmm")</f>
        <v>Mar</v>
      </c>
    </row>
    <row r="350" spans="1:9" x14ac:dyDescent="0.3">
      <c r="A350" s="3" t="s">
        <v>384</v>
      </c>
      <c r="B350" s="3" t="s">
        <v>80</v>
      </c>
      <c r="C350" s="3" t="s">
        <v>39</v>
      </c>
      <c r="D350" s="3">
        <v>2</v>
      </c>
      <c r="E350" s="4">
        <v>4039.95</v>
      </c>
      <c r="F350" s="4">
        <f t="shared" si="5"/>
        <v>8079.9</v>
      </c>
      <c r="G350" s="3" t="s">
        <v>22</v>
      </c>
      <c r="H350" s="5">
        <v>46072</v>
      </c>
      <c r="I350" s="3" t="str">
        <f>TEXT(Table1[[#This Row],[Date]],"mmm")</f>
        <v>Feb</v>
      </c>
    </row>
    <row r="351" spans="1:9" x14ac:dyDescent="0.3">
      <c r="A351" s="3" t="s">
        <v>385</v>
      </c>
      <c r="B351" s="3" t="s">
        <v>55</v>
      </c>
      <c r="C351" s="3" t="s">
        <v>25</v>
      </c>
      <c r="D351" s="3">
        <v>5</v>
      </c>
      <c r="E351" s="4">
        <v>2741.12</v>
      </c>
      <c r="F351" s="4">
        <f t="shared" si="5"/>
        <v>13705.599999999999</v>
      </c>
      <c r="G351" s="3" t="s">
        <v>22</v>
      </c>
      <c r="H351" s="5">
        <v>46095</v>
      </c>
      <c r="I351" s="3" t="str">
        <f>TEXT(Table1[[#This Row],[Date]],"mmm")</f>
        <v>Mar</v>
      </c>
    </row>
    <row r="352" spans="1:9" x14ac:dyDescent="0.3">
      <c r="A352" s="3" t="s">
        <v>386</v>
      </c>
      <c r="B352" s="3" t="s">
        <v>62</v>
      </c>
      <c r="C352" s="3" t="s">
        <v>25</v>
      </c>
      <c r="D352" s="3">
        <v>4</v>
      </c>
      <c r="E352" s="4">
        <v>2000.16</v>
      </c>
      <c r="F352" s="4">
        <f t="shared" si="5"/>
        <v>8000.64</v>
      </c>
      <c r="G352" s="3" t="s">
        <v>48</v>
      </c>
      <c r="H352" s="5">
        <v>46064</v>
      </c>
      <c r="I352" s="3" t="str">
        <f>TEXT(Table1[[#This Row],[Date]],"mmm")</f>
        <v>Feb</v>
      </c>
    </row>
    <row r="353" spans="1:9" x14ac:dyDescent="0.3">
      <c r="A353" s="3" t="s">
        <v>387</v>
      </c>
      <c r="B353" s="3" t="s">
        <v>38</v>
      </c>
      <c r="C353" s="3" t="s">
        <v>39</v>
      </c>
      <c r="D353" s="3">
        <v>2</v>
      </c>
      <c r="E353" s="4">
        <v>6891.64</v>
      </c>
      <c r="F353" s="4">
        <f t="shared" si="5"/>
        <v>13783.28</v>
      </c>
      <c r="G353" s="3" t="s">
        <v>26</v>
      </c>
      <c r="H353" s="5">
        <v>46087</v>
      </c>
      <c r="I353" s="3" t="str">
        <f>TEXT(Table1[[#This Row],[Date]],"mmm")</f>
        <v>Mar</v>
      </c>
    </row>
    <row r="354" spans="1:9" x14ac:dyDescent="0.3">
      <c r="A354" s="3" t="s">
        <v>388</v>
      </c>
      <c r="B354" s="3" t="s">
        <v>91</v>
      </c>
      <c r="C354" s="3" t="s">
        <v>13</v>
      </c>
      <c r="D354" s="3">
        <v>4</v>
      </c>
      <c r="E354" s="4">
        <v>59115.29</v>
      </c>
      <c r="F354" s="4">
        <f t="shared" si="5"/>
        <v>236461.16</v>
      </c>
      <c r="G354" s="3" t="s">
        <v>14</v>
      </c>
      <c r="H354" s="5">
        <v>46049</v>
      </c>
      <c r="I354" s="3" t="str">
        <f>TEXT(Table1[[#This Row],[Date]],"mmm")</f>
        <v>Jan</v>
      </c>
    </row>
    <row r="355" spans="1:9" x14ac:dyDescent="0.3">
      <c r="A355" s="3" t="s">
        <v>389</v>
      </c>
      <c r="B355" s="3" t="s">
        <v>21</v>
      </c>
      <c r="C355" s="3" t="s">
        <v>13</v>
      </c>
      <c r="D355" s="3">
        <v>5</v>
      </c>
      <c r="E355" s="4">
        <v>29966.53</v>
      </c>
      <c r="F355" s="4">
        <f t="shared" si="5"/>
        <v>149832.65</v>
      </c>
      <c r="G355" s="3" t="s">
        <v>10</v>
      </c>
      <c r="H355" s="5">
        <v>46044</v>
      </c>
      <c r="I355" s="3" t="str">
        <f>TEXT(Table1[[#This Row],[Date]],"mmm")</f>
        <v>Jan</v>
      </c>
    </row>
    <row r="356" spans="1:9" x14ac:dyDescent="0.3">
      <c r="A356" s="3" t="s">
        <v>390</v>
      </c>
      <c r="B356" s="3" t="s">
        <v>62</v>
      </c>
      <c r="C356" s="3" t="s">
        <v>25</v>
      </c>
      <c r="D356" s="3">
        <v>2</v>
      </c>
      <c r="E356" s="4">
        <v>1908.16</v>
      </c>
      <c r="F356" s="4">
        <f t="shared" si="5"/>
        <v>3816.32</v>
      </c>
      <c r="G356" s="3" t="s">
        <v>14</v>
      </c>
      <c r="H356" s="5">
        <v>46060</v>
      </c>
      <c r="I356" s="3" t="str">
        <f>TEXT(Table1[[#This Row],[Date]],"mmm")</f>
        <v>Feb</v>
      </c>
    </row>
    <row r="357" spans="1:9" x14ac:dyDescent="0.3">
      <c r="A357" s="3" t="s">
        <v>391</v>
      </c>
      <c r="B357" s="3" t="s">
        <v>38</v>
      </c>
      <c r="C357" s="3" t="s">
        <v>39</v>
      </c>
      <c r="D357" s="3">
        <v>4</v>
      </c>
      <c r="E357" s="4">
        <v>5969.23</v>
      </c>
      <c r="F357" s="4">
        <f t="shared" si="5"/>
        <v>23876.92</v>
      </c>
      <c r="G357" s="3" t="s">
        <v>29</v>
      </c>
      <c r="H357" s="5">
        <v>46138</v>
      </c>
      <c r="I357" s="3" t="str">
        <f>TEXT(Table1[[#This Row],[Date]],"mmm")</f>
        <v>Apr</v>
      </c>
    </row>
    <row r="358" spans="1:9" x14ac:dyDescent="0.3">
      <c r="A358" s="3" t="s">
        <v>392</v>
      </c>
      <c r="B358" s="3" t="s">
        <v>55</v>
      </c>
      <c r="C358" s="3" t="s">
        <v>25</v>
      </c>
      <c r="D358" s="3">
        <v>1</v>
      </c>
      <c r="E358" s="4">
        <v>2456.4699999999998</v>
      </c>
      <c r="F358" s="4">
        <f t="shared" si="5"/>
        <v>2456.4699999999998</v>
      </c>
      <c r="G358" s="3" t="s">
        <v>48</v>
      </c>
      <c r="H358" s="5">
        <v>46151</v>
      </c>
      <c r="I358" s="3" t="str">
        <f>TEXT(Table1[[#This Row],[Date]],"mmm")</f>
        <v>May</v>
      </c>
    </row>
    <row r="359" spans="1:9" x14ac:dyDescent="0.3">
      <c r="A359" s="3" t="s">
        <v>393</v>
      </c>
      <c r="B359" s="3" t="s">
        <v>55</v>
      </c>
      <c r="C359" s="3" t="s">
        <v>25</v>
      </c>
      <c r="D359" s="3">
        <v>2</v>
      </c>
      <c r="E359" s="4">
        <v>2442.11</v>
      </c>
      <c r="F359" s="4">
        <f t="shared" si="5"/>
        <v>4884.22</v>
      </c>
      <c r="G359" s="3" t="s">
        <v>18</v>
      </c>
      <c r="H359" s="5">
        <v>46118</v>
      </c>
      <c r="I359" s="3" t="str">
        <f>TEXT(Table1[[#This Row],[Date]],"mmm")</f>
        <v>Apr</v>
      </c>
    </row>
    <row r="360" spans="1:9" x14ac:dyDescent="0.3">
      <c r="A360" s="3" t="s">
        <v>394</v>
      </c>
      <c r="B360" s="3" t="s">
        <v>12</v>
      </c>
      <c r="C360" s="3" t="s">
        <v>13</v>
      </c>
      <c r="D360" s="3">
        <v>1</v>
      </c>
      <c r="E360" s="4">
        <v>1445.61</v>
      </c>
      <c r="F360" s="4">
        <f t="shared" si="5"/>
        <v>1445.61</v>
      </c>
      <c r="G360" s="3" t="s">
        <v>18</v>
      </c>
      <c r="H360" s="5">
        <v>46189</v>
      </c>
      <c r="I360" s="3" t="str">
        <f>TEXT(Table1[[#This Row],[Date]],"mmm")</f>
        <v>Jun</v>
      </c>
    </row>
    <row r="361" spans="1:9" x14ac:dyDescent="0.3">
      <c r="A361" s="3" t="s">
        <v>395</v>
      </c>
      <c r="B361" s="3" t="s">
        <v>55</v>
      </c>
      <c r="C361" s="3" t="s">
        <v>25</v>
      </c>
      <c r="D361" s="3">
        <v>2</v>
      </c>
      <c r="E361" s="4">
        <v>2317.87</v>
      </c>
      <c r="F361" s="4">
        <f t="shared" si="5"/>
        <v>4635.74</v>
      </c>
      <c r="G361" s="3" t="s">
        <v>10</v>
      </c>
      <c r="H361" s="5">
        <v>46143</v>
      </c>
      <c r="I361" s="3" t="str">
        <f>TEXT(Table1[[#This Row],[Date]],"mmm")</f>
        <v>May</v>
      </c>
    </row>
    <row r="362" spans="1:9" x14ac:dyDescent="0.3">
      <c r="A362" s="3" t="s">
        <v>396</v>
      </c>
      <c r="B362" s="3" t="s">
        <v>21</v>
      </c>
      <c r="C362" s="3" t="s">
        <v>13</v>
      </c>
      <c r="D362" s="3">
        <v>2</v>
      </c>
      <c r="E362" s="4">
        <v>29449.51</v>
      </c>
      <c r="F362" s="4">
        <f t="shared" si="5"/>
        <v>58899.02</v>
      </c>
      <c r="G362" s="3" t="s">
        <v>22</v>
      </c>
      <c r="H362" s="5">
        <v>46137</v>
      </c>
      <c r="I362" s="3" t="str">
        <f>TEXT(Table1[[#This Row],[Date]],"mmm")</f>
        <v>Apr</v>
      </c>
    </row>
    <row r="363" spans="1:9" x14ac:dyDescent="0.3">
      <c r="A363" s="3" t="s">
        <v>397</v>
      </c>
      <c r="B363" s="3" t="s">
        <v>16</v>
      </c>
      <c r="C363" s="3" t="s">
        <v>17</v>
      </c>
      <c r="D363" s="3">
        <v>1</v>
      </c>
      <c r="E363" s="4">
        <v>486.53</v>
      </c>
      <c r="F363" s="4">
        <f t="shared" si="5"/>
        <v>486.53</v>
      </c>
      <c r="G363" s="3" t="s">
        <v>46</v>
      </c>
      <c r="H363" s="5">
        <v>46088</v>
      </c>
      <c r="I363" s="3" t="str">
        <f>TEXT(Table1[[#This Row],[Date]],"mmm")</f>
        <v>Mar</v>
      </c>
    </row>
    <row r="364" spans="1:9" x14ac:dyDescent="0.3">
      <c r="A364" s="3" t="s">
        <v>398</v>
      </c>
      <c r="B364" s="3" t="s">
        <v>12</v>
      </c>
      <c r="C364" s="3" t="s">
        <v>13</v>
      </c>
      <c r="D364" s="3">
        <v>2</v>
      </c>
      <c r="E364" s="4">
        <v>1514.64</v>
      </c>
      <c r="F364" s="4">
        <f t="shared" si="5"/>
        <v>3029.28</v>
      </c>
      <c r="G364" s="3" t="s">
        <v>50</v>
      </c>
      <c r="H364" s="5">
        <v>46158</v>
      </c>
      <c r="I364" s="3" t="str">
        <f>TEXT(Table1[[#This Row],[Date]],"mmm")</f>
        <v>May</v>
      </c>
    </row>
    <row r="365" spans="1:9" x14ac:dyDescent="0.3">
      <c r="A365" s="3" t="s">
        <v>399</v>
      </c>
      <c r="B365" s="3" t="s">
        <v>28</v>
      </c>
      <c r="C365" s="3" t="s">
        <v>9</v>
      </c>
      <c r="D365" s="3">
        <v>1</v>
      </c>
      <c r="E365" s="4">
        <v>5275.12</v>
      </c>
      <c r="F365" s="4">
        <f t="shared" si="5"/>
        <v>5275.12</v>
      </c>
      <c r="G365" s="3" t="s">
        <v>29</v>
      </c>
      <c r="H365" s="5">
        <v>46100</v>
      </c>
      <c r="I365" s="3" t="str">
        <f>TEXT(Table1[[#This Row],[Date]],"mmm")</f>
        <v>Mar</v>
      </c>
    </row>
    <row r="366" spans="1:9" x14ac:dyDescent="0.3">
      <c r="A366" s="3" t="s">
        <v>400</v>
      </c>
      <c r="B366" s="3" t="s">
        <v>31</v>
      </c>
      <c r="C366" s="3" t="s">
        <v>13</v>
      </c>
      <c r="D366" s="3">
        <v>1</v>
      </c>
      <c r="E366" s="4">
        <v>17058.38</v>
      </c>
      <c r="F366" s="4">
        <f t="shared" si="5"/>
        <v>17058.38</v>
      </c>
      <c r="G366" s="3" t="s">
        <v>50</v>
      </c>
      <c r="H366" s="5">
        <v>46140</v>
      </c>
      <c r="I366" s="3" t="str">
        <f>TEXT(Table1[[#This Row],[Date]],"mmm")</f>
        <v>Apr</v>
      </c>
    </row>
    <row r="367" spans="1:9" x14ac:dyDescent="0.3">
      <c r="A367" s="3" t="s">
        <v>401</v>
      </c>
      <c r="B367" s="3" t="s">
        <v>31</v>
      </c>
      <c r="C367" s="3" t="s">
        <v>13</v>
      </c>
      <c r="D367" s="3">
        <v>1</v>
      </c>
      <c r="E367" s="4">
        <v>19212.080000000002</v>
      </c>
      <c r="F367" s="4">
        <f t="shared" si="5"/>
        <v>19212.080000000002</v>
      </c>
      <c r="G367" s="3" t="s">
        <v>22</v>
      </c>
      <c r="H367" s="5">
        <v>46175</v>
      </c>
      <c r="I367" s="3" t="str">
        <f>TEXT(Table1[[#This Row],[Date]],"mmm")</f>
        <v>Jun</v>
      </c>
    </row>
    <row r="368" spans="1:9" x14ac:dyDescent="0.3">
      <c r="A368" s="3" t="s">
        <v>402</v>
      </c>
      <c r="B368" s="3" t="s">
        <v>80</v>
      </c>
      <c r="C368" s="3" t="s">
        <v>39</v>
      </c>
      <c r="D368" s="3">
        <v>1</v>
      </c>
      <c r="E368" s="4">
        <v>4310.84</v>
      </c>
      <c r="F368" s="4">
        <f t="shared" si="5"/>
        <v>4310.84</v>
      </c>
      <c r="G368" s="3" t="s">
        <v>50</v>
      </c>
      <c r="H368" s="5">
        <v>46084</v>
      </c>
      <c r="I368" s="3" t="str">
        <f>TEXT(Table1[[#This Row],[Date]],"mmm")</f>
        <v>Mar</v>
      </c>
    </row>
    <row r="369" spans="1:9" x14ac:dyDescent="0.3">
      <c r="A369" s="3" t="s">
        <v>403</v>
      </c>
      <c r="B369" s="3" t="s">
        <v>21</v>
      </c>
      <c r="C369" s="3" t="s">
        <v>13</v>
      </c>
      <c r="D369" s="3">
        <v>2</v>
      </c>
      <c r="E369" s="4">
        <v>26831.119999999999</v>
      </c>
      <c r="F369" s="4">
        <f t="shared" si="5"/>
        <v>53662.239999999998</v>
      </c>
      <c r="G369" s="3" t="s">
        <v>46</v>
      </c>
      <c r="H369" s="5">
        <v>46180</v>
      </c>
      <c r="I369" s="3" t="str">
        <f>TEXT(Table1[[#This Row],[Date]],"mmm")</f>
        <v>Jun</v>
      </c>
    </row>
    <row r="370" spans="1:9" x14ac:dyDescent="0.3">
      <c r="A370" s="3" t="s">
        <v>404</v>
      </c>
      <c r="B370" s="3" t="s">
        <v>55</v>
      </c>
      <c r="C370" s="3" t="s">
        <v>25</v>
      </c>
      <c r="D370" s="3">
        <v>2</v>
      </c>
      <c r="E370" s="4">
        <v>2534.3200000000002</v>
      </c>
      <c r="F370" s="4">
        <f t="shared" si="5"/>
        <v>5068.6400000000003</v>
      </c>
      <c r="G370" s="3" t="s">
        <v>26</v>
      </c>
      <c r="H370" s="5">
        <v>46193</v>
      </c>
      <c r="I370" s="3" t="str">
        <f>TEXT(Table1[[#This Row],[Date]],"mmm")</f>
        <v>Jun</v>
      </c>
    </row>
    <row r="371" spans="1:9" x14ac:dyDescent="0.3">
      <c r="A371" s="3" t="s">
        <v>405</v>
      </c>
      <c r="B371" s="3" t="s">
        <v>8</v>
      </c>
      <c r="C371" s="3" t="s">
        <v>9</v>
      </c>
      <c r="D371" s="3">
        <v>1</v>
      </c>
      <c r="E371" s="4">
        <v>1808.45</v>
      </c>
      <c r="F371" s="4">
        <f t="shared" si="5"/>
        <v>1808.45</v>
      </c>
      <c r="G371" s="3" t="s">
        <v>32</v>
      </c>
      <c r="H371" s="5">
        <v>46040</v>
      </c>
      <c r="I371" s="3" t="str">
        <f>TEXT(Table1[[#This Row],[Date]],"mmm")</f>
        <v>Jan</v>
      </c>
    </row>
    <row r="372" spans="1:9" x14ac:dyDescent="0.3">
      <c r="A372" s="3" t="s">
        <v>406</v>
      </c>
      <c r="B372" s="3" t="s">
        <v>80</v>
      </c>
      <c r="C372" s="3" t="s">
        <v>39</v>
      </c>
      <c r="D372" s="3">
        <v>5</v>
      </c>
      <c r="E372" s="4">
        <v>4206.16</v>
      </c>
      <c r="F372" s="4">
        <f t="shared" si="5"/>
        <v>21030.799999999999</v>
      </c>
      <c r="G372" s="3" t="s">
        <v>14</v>
      </c>
      <c r="H372" s="5">
        <v>46164</v>
      </c>
      <c r="I372" s="3" t="str">
        <f>TEXT(Table1[[#This Row],[Date]],"mmm")</f>
        <v>May</v>
      </c>
    </row>
    <row r="373" spans="1:9" x14ac:dyDescent="0.3">
      <c r="A373" s="3" t="s">
        <v>407</v>
      </c>
      <c r="B373" s="3" t="s">
        <v>91</v>
      </c>
      <c r="C373" s="3" t="s">
        <v>13</v>
      </c>
      <c r="D373" s="3">
        <v>4</v>
      </c>
      <c r="E373" s="4">
        <v>59106.65</v>
      </c>
      <c r="F373" s="4">
        <f t="shared" si="5"/>
        <v>236426.6</v>
      </c>
      <c r="G373" s="3" t="s">
        <v>46</v>
      </c>
      <c r="H373" s="5">
        <v>46185</v>
      </c>
      <c r="I373" s="3" t="str">
        <f>TEXT(Table1[[#This Row],[Date]],"mmm")</f>
        <v>Jun</v>
      </c>
    </row>
    <row r="374" spans="1:9" x14ac:dyDescent="0.3">
      <c r="A374" s="3" t="s">
        <v>408</v>
      </c>
      <c r="B374" s="3" t="s">
        <v>28</v>
      </c>
      <c r="C374" s="3" t="s">
        <v>9</v>
      </c>
      <c r="D374" s="3">
        <v>3</v>
      </c>
      <c r="E374" s="4">
        <v>4752.7</v>
      </c>
      <c r="F374" s="4">
        <f t="shared" si="5"/>
        <v>14258.099999999999</v>
      </c>
      <c r="G374" s="3" t="s">
        <v>46</v>
      </c>
      <c r="H374" s="5">
        <v>46114</v>
      </c>
      <c r="I374" s="3" t="str">
        <f>TEXT(Table1[[#This Row],[Date]],"mmm")</f>
        <v>Apr</v>
      </c>
    </row>
    <row r="375" spans="1:9" x14ac:dyDescent="0.3">
      <c r="A375" s="3" t="s">
        <v>409</v>
      </c>
      <c r="B375" s="3" t="s">
        <v>62</v>
      </c>
      <c r="C375" s="3" t="s">
        <v>25</v>
      </c>
      <c r="D375" s="3">
        <v>1</v>
      </c>
      <c r="E375" s="4">
        <v>1936.95</v>
      </c>
      <c r="F375" s="4">
        <f t="shared" si="5"/>
        <v>1936.95</v>
      </c>
      <c r="G375" s="3" t="s">
        <v>18</v>
      </c>
      <c r="H375" s="5">
        <v>46171</v>
      </c>
      <c r="I375" s="3" t="str">
        <f>TEXT(Table1[[#This Row],[Date]],"mmm")</f>
        <v>May</v>
      </c>
    </row>
    <row r="376" spans="1:9" x14ac:dyDescent="0.3">
      <c r="A376" s="3" t="s">
        <v>410</v>
      </c>
      <c r="B376" s="3" t="s">
        <v>21</v>
      </c>
      <c r="C376" s="3" t="s">
        <v>13</v>
      </c>
      <c r="D376" s="3">
        <v>3</v>
      </c>
      <c r="E376" s="4">
        <v>25947.09</v>
      </c>
      <c r="F376" s="4">
        <f t="shared" si="5"/>
        <v>77841.27</v>
      </c>
      <c r="G376" s="3" t="s">
        <v>32</v>
      </c>
      <c r="H376" s="5">
        <v>46162</v>
      </c>
      <c r="I376" s="3" t="str">
        <f>TEXT(Table1[[#This Row],[Date]],"mmm")</f>
        <v>May</v>
      </c>
    </row>
    <row r="377" spans="1:9" x14ac:dyDescent="0.3">
      <c r="A377" s="3" t="s">
        <v>411</v>
      </c>
      <c r="B377" s="3" t="s">
        <v>55</v>
      </c>
      <c r="C377" s="3" t="s">
        <v>25</v>
      </c>
      <c r="D377" s="3">
        <v>2</v>
      </c>
      <c r="E377" s="4">
        <v>2664.13</v>
      </c>
      <c r="F377" s="4">
        <f t="shared" si="5"/>
        <v>5328.26</v>
      </c>
      <c r="G377" s="3" t="s">
        <v>22</v>
      </c>
      <c r="H377" s="5">
        <v>46201</v>
      </c>
      <c r="I377" s="3" t="str">
        <f>TEXT(Table1[[#This Row],[Date]],"mmm")</f>
        <v>Jun</v>
      </c>
    </row>
    <row r="378" spans="1:9" x14ac:dyDescent="0.3">
      <c r="A378" s="3" t="s">
        <v>412</v>
      </c>
      <c r="B378" s="3" t="s">
        <v>44</v>
      </c>
      <c r="C378" s="3" t="s">
        <v>39</v>
      </c>
      <c r="D378" s="3">
        <v>2</v>
      </c>
      <c r="E378" s="4">
        <v>3718.05</v>
      </c>
      <c r="F378" s="4">
        <f t="shared" si="5"/>
        <v>7436.1</v>
      </c>
      <c r="G378" s="3" t="s">
        <v>18</v>
      </c>
      <c r="H378" s="5">
        <v>46140</v>
      </c>
      <c r="I378" s="3" t="str">
        <f>TEXT(Table1[[#This Row],[Date]],"mmm")</f>
        <v>Apr</v>
      </c>
    </row>
    <row r="379" spans="1:9" x14ac:dyDescent="0.3">
      <c r="A379" s="3" t="s">
        <v>413</v>
      </c>
      <c r="B379" s="3" t="s">
        <v>91</v>
      </c>
      <c r="C379" s="3" t="s">
        <v>13</v>
      </c>
      <c r="D379" s="3">
        <v>3</v>
      </c>
      <c r="E379" s="4">
        <v>51717.5</v>
      </c>
      <c r="F379" s="4">
        <f t="shared" si="5"/>
        <v>155152.5</v>
      </c>
      <c r="G379" s="3" t="s">
        <v>29</v>
      </c>
      <c r="H379" s="5">
        <v>46033</v>
      </c>
      <c r="I379" s="3" t="str">
        <f>TEXT(Table1[[#This Row],[Date]],"mmm")</f>
        <v>Jan</v>
      </c>
    </row>
    <row r="380" spans="1:9" x14ac:dyDescent="0.3">
      <c r="A380" s="3" t="s">
        <v>414</v>
      </c>
      <c r="B380" s="3" t="s">
        <v>55</v>
      </c>
      <c r="C380" s="3" t="s">
        <v>25</v>
      </c>
      <c r="D380" s="3">
        <v>3</v>
      </c>
      <c r="E380" s="4">
        <v>2506.69</v>
      </c>
      <c r="F380" s="4">
        <f t="shared" si="5"/>
        <v>7520.07</v>
      </c>
      <c r="G380" s="3" t="s">
        <v>14</v>
      </c>
      <c r="H380" s="5">
        <v>46144</v>
      </c>
      <c r="I380" s="3" t="str">
        <f>TEXT(Table1[[#This Row],[Date]],"mmm")</f>
        <v>May</v>
      </c>
    </row>
    <row r="381" spans="1:9" x14ac:dyDescent="0.3">
      <c r="A381" s="3" t="s">
        <v>415</v>
      </c>
      <c r="B381" s="3" t="s">
        <v>24</v>
      </c>
      <c r="C381" s="3" t="s">
        <v>25</v>
      </c>
      <c r="D381" s="3">
        <v>1</v>
      </c>
      <c r="E381" s="4">
        <v>839.48</v>
      </c>
      <c r="F381" s="4">
        <f t="shared" si="5"/>
        <v>839.48</v>
      </c>
      <c r="G381" s="3" t="s">
        <v>29</v>
      </c>
      <c r="H381" s="5">
        <v>46096</v>
      </c>
      <c r="I381" s="3" t="str">
        <f>TEXT(Table1[[#This Row],[Date]],"mmm")</f>
        <v>Mar</v>
      </c>
    </row>
    <row r="382" spans="1:9" x14ac:dyDescent="0.3">
      <c r="A382" s="3" t="s">
        <v>416</v>
      </c>
      <c r="B382" s="3" t="s">
        <v>55</v>
      </c>
      <c r="C382" s="3" t="s">
        <v>25</v>
      </c>
      <c r="D382" s="3">
        <v>1</v>
      </c>
      <c r="E382" s="4">
        <v>2681.83</v>
      </c>
      <c r="F382" s="4">
        <f t="shared" si="5"/>
        <v>2681.83</v>
      </c>
      <c r="G382" s="3" t="s">
        <v>32</v>
      </c>
      <c r="H382" s="5">
        <v>46092</v>
      </c>
      <c r="I382" s="3" t="str">
        <f>TEXT(Table1[[#This Row],[Date]],"mmm")</f>
        <v>Mar</v>
      </c>
    </row>
    <row r="383" spans="1:9" x14ac:dyDescent="0.3">
      <c r="A383" s="3" t="s">
        <v>417</v>
      </c>
      <c r="B383" s="3" t="s">
        <v>31</v>
      </c>
      <c r="C383" s="3" t="s">
        <v>13</v>
      </c>
      <c r="D383" s="3">
        <v>3</v>
      </c>
      <c r="E383" s="4">
        <v>17773.02</v>
      </c>
      <c r="F383" s="4">
        <f t="shared" si="5"/>
        <v>53319.06</v>
      </c>
      <c r="G383" s="3" t="s">
        <v>48</v>
      </c>
      <c r="H383" s="5">
        <v>46135</v>
      </c>
      <c r="I383" s="3" t="str">
        <f>TEXT(Table1[[#This Row],[Date]],"mmm")</f>
        <v>Apr</v>
      </c>
    </row>
    <row r="384" spans="1:9" x14ac:dyDescent="0.3">
      <c r="A384" s="3" t="s">
        <v>418</v>
      </c>
      <c r="B384" s="3" t="s">
        <v>28</v>
      </c>
      <c r="C384" s="3" t="s">
        <v>9</v>
      </c>
      <c r="D384" s="3">
        <v>3</v>
      </c>
      <c r="E384" s="4">
        <v>5472.63</v>
      </c>
      <c r="F384" s="4">
        <f t="shared" si="5"/>
        <v>16417.89</v>
      </c>
      <c r="G384" s="3" t="s">
        <v>22</v>
      </c>
      <c r="H384" s="5">
        <v>46200</v>
      </c>
      <c r="I384" s="3" t="str">
        <f>TEXT(Table1[[#This Row],[Date]],"mmm")</f>
        <v>Jun</v>
      </c>
    </row>
    <row r="385" spans="1:9" x14ac:dyDescent="0.3">
      <c r="A385" s="3" t="s">
        <v>419</v>
      </c>
      <c r="B385" s="3" t="s">
        <v>44</v>
      </c>
      <c r="C385" s="3" t="s">
        <v>39</v>
      </c>
      <c r="D385" s="3">
        <v>3</v>
      </c>
      <c r="E385" s="4">
        <v>3797.02</v>
      </c>
      <c r="F385" s="4">
        <f t="shared" si="5"/>
        <v>11391.06</v>
      </c>
      <c r="G385" s="3" t="s">
        <v>14</v>
      </c>
      <c r="H385" s="5">
        <v>46091</v>
      </c>
      <c r="I385" s="3" t="str">
        <f>TEXT(Table1[[#This Row],[Date]],"mmm")</f>
        <v>Mar</v>
      </c>
    </row>
    <row r="386" spans="1:9" x14ac:dyDescent="0.3">
      <c r="A386" s="3" t="s">
        <v>420</v>
      </c>
      <c r="B386" s="3" t="s">
        <v>62</v>
      </c>
      <c r="C386" s="3" t="s">
        <v>25</v>
      </c>
      <c r="D386" s="3">
        <v>1</v>
      </c>
      <c r="E386" s="4">
        <v>2089.79</v>
      </c>
      <c r="F386" s="4">
        <f t="shared" si="5"/>
        <v>2089.79</v>
      </c>
      <c r="G386" s="3" t="s">
        <v>18</v>
      </c>
      <c r="H386" s="5">
        <v>46133</v>
      </c>
      <c r="I386" s="3" t="str">
        <f>TEXT(Table1[[#This Row],[Date]],"mmm")</f>
        <v>Apr</v>
      </c>
    </row>
    <row r="387" spans="1:9" x14ac:dyDescent="0.3">
      <c r="A387" s="3" t="s">
        <v>421</v>
      </c>
      <c r="B387" s="3" t="s">
        <v>16</v>
      </c>
      <c r="C387" s="3" t="s">
        <v>17</v>
      </c>
      <c r="D387" s="3">
        <v>2</v>
      </c>
      <c r="E387" s="4">
        <v>454.09</v>
      </c>
      <c r="F387" s="4">
        <f t="shared" ref="F387:F450" si="6">D387*E387</f>
        <v>908.18</v>
      </c>
      <c r="G387" s="3" t="s">
        <v>32</v>
      </c>
      <c r="H387" s="5">
        <v>46049</v>
      </c>
      <c r="I387" s="3" t="str">
        <f>TEXT(Table1[[#This Row],[Date]],"mmm")</f>
        <v>Jan</v>
      </c>
    </row>
    <row r="388" spans="1:9" x14ac:dyDescent="0.3">
      <c r="A388" s="3" t="s">
        <v>422</v>
      </c>
      <c r="B388" s="3" t="s">
        <v>31</v>
      </c>
      <c r="C388" s="3" t="s">
        <v>13</v>
      </c>
      <c r="D388" s="3">
        <v>3</v>
      </c>
      <c r="E388" s="4">
        <v>18579.310000000001</v>
      </c>
      <c r="F388" s="4">
        <f t="shared" si="6"/>
        <v>55737.930000000008</v>
      </c>
      <c r="G388" s="3" t="s">
        <v>10</v>
      </c>
      <c r="H388" s="5">
        <v>46137</v>
      </c>
      <c r="I388" s="3" t="str">
        <f>TEXT(Table1[[#This Row],[Date]],"mmm")</f>
        <v>Apr</v>
      </c>
    </row>
    <row r="389" spans="1:9" x14ac:dyDescent="0.3">
      <c r="A389" s="3" t="s">
        <v>423</v>
      </c>
      <c r="B389" s="3" t="s">
        <v>16</v>
      </c>
      <c r="C389" s="3" t="s">
        <v>17</v>
      </c>
      <c r="D389" s="3">
        <v>4</v>
      </c>
      <c r="E389" s="4">
        <v>420</v>
      </c>
      <c r="F389" s="4">
        <f t="shared" si="6"/>
        <v>1680</v>
      </c>
      <c r="G389" s="3" t="s">
        <v>22</v>
      </c>
      <c r="H389" s="5">
        <v>46112</v>
      </c>
      <c r="I389" s="3" t="str">
        <f>TEXT(Table1[[#This Row],[Date]],"mmm")</f>
        <v>Mar</v>
      </c>
    </row>
    <row r="390" spans="1:9" x14ac:dyDescent="0.3">
      <c r="A390" s="3" t="s">
        <v>424</v>
      </c>
      <c r="B390" s="3" t="s">
        <v>44</v>
      </c>
      <c r="C390" s="3" t="s">
        <v>39</v>
      </c>
      <c r="D390" s="3">
        <v>1</v>
      </c>
      <c r="E390" s="4">
        <v>3658.77</v>
      </c>
      <c r="F390" s="4">
        <f t="shared" si="6"/>
        <v>3658.77</v>
      </c>
      <c r="G390" s="3" t="s">
        <v>32</v>
      </c>
      <c r="H390" s="5">
        <v>46180</v>
      </c>
      <c r="I390" s="3" t="str">
        <f>TEXT(Table1[[#This Row],[Date]],"mmm")</f>
        <v>Jun</v>
      </c>
    </row>
    <row r="391" spans="1:9" x14ac:dyDescent="0.3">
      <c r="A391" s="3" t="s">
        <v>425</v>
      </c>
      <c r="B391" s="3" t="s">
        <v>28</v>
      </c>
      <c r="C391" s="3" t="s">
        <v>9</v>
      </c>
      <c r="D391" s="3">
        <v>3</v>
      </c>
      <c r="E391" s="4">
        <v>5138.4399999999996</v>
      </c>
      <c r="F391" s="4">
        <f t="shared" si="6"/>
        <v>15415.32</v>
      </c>
      <c r="G391" s="3" t="s">
        <v>46</v>
      </c>
      <c r="H391" s="5">
        <v>46042</v>
      </c>
      <c r="I391" s="3" t="str">
        <f>TEXT(Table1[[#This Row],[Date]],"mmm")</f>
        <v>Jan</v>
      </c>
    </row>
    <row r="392" spans="1:9" x14ac:dyDescent="0.3">
      <c r="A392" s="3" t="s">
        <v>426</v>
      </c>
      <c r="B392" s="3" t="s">
        <v>8</v>
      </c>
      <c r="C392" s="3" t="s">
        <v>9</v>
      </c>
      <c r="D392" s="3">
        <v>4</v>
      </c>
      <c r="E392" s="4">
        <v>1750.79</v>
      </c>
      <c r="F392" s="4">
        <f t="shared" si="6"/>
        <v>7003.16</v>
      </c>
      <c r="G392" s="3" t="s">
        <v>26</v>
      </c>
      <c r="H392" s="5">
        <v>46030</v>
      </c>
      <c r="I392" s="3" t="str">
        <f>TEXT(Table1[[#This Row],[Date]],"mmm")</f>
        <v>Jan</v>
      </c>
    </row>
    <row r="393" spans="1:9" x14ac:dyDescent="0.3">
      <c r="A393" s="3" t="s">
        <v>427</v>
      </c>
      <c r="B393" s="3" t="s">
        <v>72</v>
      </c>
      <c r="C393" s="3" t="s">
        <v>13</v>
      </c>
      <c r="D393" s="3">
        <v>5</v>
      </c>
      <c r="E393" s="4">
        <v>2278.36</v>
      </c>
      <c r="F393" s="4">
        <f t="shared" si="6"/>
        <v>11391.800000000001</v>
      </c>
      <c r="G393" s="3" t="s">
        <v>22</v>
      </c>
      <c r="H393" s="5">
        <v>46031</v>
      </c>
      <c r="I393" s="3" t="str">
        <f>TEXT(Table1[[#This Row],[Date]],"mmm")</f>
        <v>Jan</v>
      </c>
    </row>
    <row r="394" spans="1:9" x14ac:dyDescent="0.3">
      <c r="A394" s="3" t="s">
        <v>428</v>
      </c>
      <c r="B394" s="3" t="s">
        <v>72</v>
      </c>
      <c r="C394" s="3" t="s">
        <v>13</v>
      </c>
      <c r="D394" s="3">
        <v>1</v>
      </c>
      <c r="E394" s="4">
        <v>2083.84</v>
      </c>
      <c r="F394" s="4">
        <f t="shared" si="6"/>
        <v>2083.84</v>
      </c>
      <c r="G394" s="3" t="s">
        <v>32</v>
      </c>
      <c r="H394" s="5">
        <v>46115</v>
      </c>
      <c r="I394" s="3" t="str">
        <f>TEXT(Table1[[#This Row],[Date]],"mmm")</f>
        <v>Apr</v>
      </c>
    </row>
    <row r="395" spans="1:9" x14ac:dyDescent="0.3">
      <c r="A395" s="3" t="s">
        <v>429</v>
      </c>
      <c r="B395" s="3" t="s">
        <v>28</v>
      </c>
      <c r="C395" s="3" t="s">
        <v>9</v>
      </c>
      <c r="D395" s="3">
        <v>5</v>
      </c>
      <c r="E395" s="4">
        <v>4531.4799999999996</v>
      </c>
      <c r="F395" s="4">
        <f t="shared" si="6"/>
        <v>22657.399999999998</v>
      </c>
      <c r="G395" s="3" t="s">
        <v>26</v>
      </c>
      <c r="H395" s="5">
        <v>46196</v>
      </c>
      <c r="I395" s="3" t="str">
        <f>TEXT(Table1[[#This Row],[Date]],"mmm")</f>
        <v>Jun</v>
      </c>
    </row>
    <row r="396" spans="1:9" x14ac:dyDescent="0.3">
      <c r="A396" s="3" t="s">
        <v>430</v>
      </c>
      <c r="B396" s="3" t="s">
        <v>44</v>
      </c>
      <c r="C396" s="3" t="s">
        <v>39</v>
      </c>
      <c r="D396" s="3">
        <v>3</v>
      </c>
      <c r="E396" s="4">
        <v>3410.41</v>
      </c>
      <c r="F396" s="4">
        <f t="shared" si="6"/>
        <v>10231.23</v>
      </c>
      <c r="G396" s="3" t="s">
        <v>18</v>
      </c>
      <c r="H396" s="5">
        <v>46169</v>
      </c>
      <c r="I396" s="3" t="str">
        <f>TEXT(Table1[[#This Row],[Date]],"mmm")</f>
        <v>May</v>
      </c>
    </row>
    <row r="397" spans="1:9" x14ac:dyDescent="0.3">
      <c r="A397" s="3" t="s">
        <v>431</v>
      </c>
      <c r="B397" s="3" t="s">
        <v>72</v>
      </c>
      <c r="C397" s="3" t="s">
        <v>13</v>
      </c>
      <c r="D397" s="3">
        <v>5</v>
      </c>
      <c r="E397" s="4">
        <v>2141.46</v>
      </c>
      <c r="F397" s="4">
        <f t="shared" si="6"/>
        <v>10707.3</v>
      </c>
      <c r="G397" s="3" t="s">
        <v>32</v>
      </c>
      <c r="H397" s="5">
        <v>46189</v>
      </c>
      <c r="I397" s="3" t="str">
        <f>TEXT(Table1[[#This Row],[Date]],"mmm")</f>
        <v>Jun</v>
      </c>
    </row>
    <row r="398" spans="1:9" x14ac:dyDescent="0.3">
      <c r="A398" s="3" t="s">
        <v>432</v>
      </c>
      <c r="B398" s="3" t="s">
        <v>24</v>
      </c>
      <c r="C398" s="3" t="s">
        <v>25</v>
      </c>
      <c r="D398" s="3">
        <v>2</v>
      </c>
      <c r="E398" s="4">
        <v>872.59</v>
      </c>
      <c r="F398" s="4">
        <f t="shared" si="6"/>
        <v>1745.18</v>
      </c>
      <c r="G398" s="3" t="s">
        <v>46</v>
      </c>
      <c r="H398" s="5">
        <v>46070</v>
      </c>
      <c r="I398" s="3" t="str">
        <f>TEXT(Table1[[#This Row],[Date]],"mmm")</f>
        <v>Feb</v>
      </c>
    </row>
    <row r="399" spans="1:9" x14ac:dyDescent="0.3">
      <c r="A399" s="3" t="s">
        <v>433</v>
      </c>
      <c r="B399" s="3" t="s">
        <v>44</v>
      </c>
      <c r="C399" s="3" t="s">
        <v>39</v>
      </c>
      <c r="D399" s="3">
        <v>5</v>
      </c>
      <c r="E399" s="4">
        <v>3420.89</v>
      </c>
      <c r="F399" s="4">
        <f t="shared" si="6"/>
        <v>17104.45</v>
      </c>
      <c r="G399" s="3" t="s">
        <v>14</v>
      </c>
      <c r="H399" s="5">
        <v>46053</v>
      </c>
      <c r="I399" s="3" t="str">
        <f>TEXT(Table1[[#This Row],[Date]],"mmm")</f>
        <v>Jan</v>
      </c>
    </row>
    <row r="400" spans="1:9" x14ac:dyDescent="0.3">
      <c r="A400" s="3" t="s">
        <v>434</v>
      </c>
      <c r="B400" s="3" t="s">
        <v>24</v>
      </c>
      <c r="C400" s="3" t="s">
        <v>25</v>
      </c>
      <c r="D400" s="3">
        <v>3</v>
      </c>
      <c r="E400" s="4">
        <v>831.61</v>
      </c>
      <c r="F400" s="4">
        <f t="shared" si="6"/>
        <v>2494.83</v>
      </c>
      <c r="G400" s="3" t="s">
        <v>29</v>
      </c>
      <c r="H400" s="5">
        <v>46179</v>
      </c>
      <c r="I400" s="3" t="str">
        <f>TEXT(Table1[[#This Row],[Date]],"mmm")</f>
        <v>Jun</v>
      </c>
    </row>
    <row r="401" spans="1:9" x14ac:dyDescent="0.3">
      <c r="A401" s="3" t="s">
        <v>435</v>
      </c>
      <c r="B401" s="3" t="s">
        <v>24</v>
      </c>
      <c r="C401" s="3" t="s">
        <v>25</v>
      </c>
      <c r="D401" s="3">
        <v>4</v>
      </c>
      <c r="E401" s="4">
        <v>751.09</v>
      </c>
      <c r="F401" s="4">
        <f t="shared" si="6"/>
        <v>3004.36</v>
      </c>
      <c r="G401" s="3" t="s">
        <v>26</v>
      </c>
      <c r="H401" s="5">
        <v>46041</v>
      </c>
      <c r="I401" s="3" t="str">
        <f>TEXT(Table1[[#This Row],[Date]],"mmm")</f>
        <v>Jan</v>
      </c>
    </row>
    <row r="402" spans="1:9" x14ac:dyDescent="0.3">
      <c r="A402" s="3" t="s">
        <v>436</v>
      </c>
      <c r="B402" s="3" t="s">
        <v>44</v>
      </c>
      <c r="C402" s="3" t="s">
        <v>39</v>
      </c>
      <c r="D402" s="3">
        <v>2</v>
      </c>
      <c r="E402" s="4">
        <v>3779.08</v>
      </c>
      <c r="F402" s="4">
        <f t="shared" si="6"/>
        <v>7558.16</v>
      </c>
      <c r="G402" s="3" t="s">
        <v>22</v>
      </c>
      <c r="H402" s="5">
        <v>46045</v>
      </c>
      <c r="I402" s="3" t="str">
        <f>TEXT(Table1[[#This Row],[Date]],"mmm")</f>
        <v>Jan</v>
      </c>
    </row>
    <row r="403" spans="1:9" x14ac:dyDescent="0.3">
      <c r="A403" s="3" t="s">
        <v>437</v>
      </c>
      <c r="B403" s="3" t="s">
        <v>62</v>
      </c>
      <c r="C403" s="3" t="s">
        <v>25</v>
      </c>
      <c r="D403" s="3">
        <v>3</v>
      </c>
      <c r="E403" s="4">
        <v>2066.1</v>
      </c>
      <c r="F403" s="4">
        <f t="shared" si="6"/>
        <v>6198.2999999999993</v>
      </c>
      <c r="G403" s="3" t="s">
        <v>18</v>
      </c>
      <c r="H403" s="5">
        <v>46163</v>
      </c>
      <c r="I403" s="3" t="str">
        <f>TEXT(Table1[[#This Row],[Date]],"mmm")</f>
        <v>May</v>
      </c>
    </row>
    <row r="404" spans="1:9" x14ac:dyDescent="0.3">
      <c r="A404" s="3" t="s">
        <v>438</v>
      </c>
      <c r="B404" s="3" t="s">
        <v>80</v>
      </c>
      <c r="C404" s="3" t="s">
        <v>39</v>
      </c>
      <c r="D404" s="3">
        <v>3</v>
      </c>
      <c r="E404" s="4">
        <v>4528.72</v>
      </c>
      <c r="F404" s="4">
        <f t="shared" si="6"/>
        <v>13586.16</v>
      </c>
      <c r="G404" s="3" t="s">
        <v>26</v>
      </c>
      <c r="H404" s="5">
        <v>46202</v>
      </c>
      <c r="I404" s="3" t="str">
        <f>TEXT(Table1[[#This Row],[Date]],"mmm")</f>
        <v>Jun</v>
      </c>
    </row>
    <row r="405" spans="1:9" x14ac:dyDescent="0.3">
      <c r="A405" s="3" t="s">
        <v>439</v>
      </c>
      <c r="B405" s="3" t="s">
        <v>8</v>
      </c>
      <c r="C405" s="3" t="s">
        <v>9</v>
      </c>
      <c r="D405" s="3">
        <v>2</v>
      </c>
      <c r="E405" s="4">
        <v>1905.73</v>
      </c>
      <c r="F405" s="4">
        <f t="shared" si="6"/>
        <v>3811.46</v>
      </c>
      <c r="G405" s="3" t="s">
        <v>14</v>
      </c>
      <c r="H405" s="5">
        <v>46080</v>
      </c>
      <c r="I405" s="3" t="str">
        <f>TEXT(Table1[[#This Row],[Date]],"mmm")</f>
        <v>Feb</v>
      </c>
    </row>
    <row r="406" spans="1:9" x14ac:dyDescent="0.3">
      <c r="A406" s="3" t="s">
        <v>440</v>
      </c>
      <c r="B406" s="3" t="s">
        <v>31</v>
      </c>
      <c r="C406" s="3" t="s">
        <v>13</v>
      </c>
      <c r="D406" s="3">
        <v>2</v>
      </c>
      <c r="E406" s="4">
        <v>19051.439999999999</v>
      </c>
      <c r="F406" s="4">
        <f t="shared" si="6"/>
        <v>38102.879999999997</v>
      </c>
      <c r="G406" s="3" t="s">
        <v>29</v>
      </c>
      <c r="H406" s="5">
        <v>46149</v>
      </c>
      <c r="I406" s="3" t="str">
        <f>TEXT(Table1[[#This Row],[Date]],"mmm")</f>
        <v>May</v>
      </c>
    </row>
    <row r="407" spans="1:9" x14ac:dyDescent="0.3">
      <c r="A407" s="3" t="s">
        <v>441</v>
      </c>
      <c r="B407" s="3" t="s">
        <v>91</v>
      </c>
      <c r="C407" s="3" t="s">
        <v>13</v>
      </c>
      <c r="D407" s="3">
        <v>3</v>
      </c>
      <c r="E407" s="4">
        <v>55594.239999999998</v>
      </c>
      <c r="F407" s="4">
        <f t="shared" si="6"/>
        <v>166782.72</v>
      </c>
      <c r="G407" s="3" t="s">
        <v>32</v>
      </c>
      <c r="H407" s="5">
        <v>46142</v>
      </c>
      <c r="I407" s="3" t="str">
        <f>TEXT(Table1[[#This Row],[Date]],"mmm")</f>
        <v>Apr</v>
      </c>
    </row>
    <row r="408" spans="1:9" x14ac:dyDescent="0.3">
      <c r="A408" s="3" t="s">
        <v>442</v>
      </c>
      <c r="B408" s="3" t="s">
        <v>62</v>
      </c>
      <c r="C408" s="3" t="s">
        <v>25</v>
      </c>
      <c r="D408" s="3">
        <v>5</v>
      </c>
      <c r="E408" s="4">
        <v>1850.98</v>
      </c>
      <c r="F408" s="4">
        <f t="shared" si="6"/>
        <v>9254.9</v>
      </c>
      <c r="G408" s="3" t="s">
        <v>18</v>
      </c>
      <c r="H408" s="5">
        <v>46039</v>
      </c>
      <c r="I408" s="3" t="str">
        <f>TEXT(Table1[[#This Row],[Date]],"mmm")</f>
        <v>Jan</v>
      </c>
    </row>
    <row r="409" spans="1:9" x14ac:dyDescent="0.3">
      <c r="A409" s="3" t="s">
        <v>443</v>
      </c>
      <c r="B409" s="3" t="s">
        <v>24</v>
      </c>
      <c r="C409" s="3" t="s">
        <v>25</v>
      </c>
      <c r="D409" s="3">
        <v>4</v>
      </c>
      <c r="E409" s="4">
        <v>878.84</v>
      </c>
      <c r="F409" s="4">
        <f t="shared" si="6"/>
        <v>3515.36</v>
      </c>
      <c r="G409" s="3" t="s">
        <v>22</v>
      </c>
      <c r="H409" s="5">
        <v>46157</v>
      </c>
      <c r="I409" s="3" t="str">
        <f>TEXT(Table1[[#This Row],[Date]],"mmm")</f>
        <v>May</v>
      </c>
    </row>
    <row r="410" spans="1:9" x14ac:dyDescent="0.3">
      <c r="A410" s="3" t="s">
        <v>444</v>
      </c>
      <c r="B410" s="3" t="s">
        <v>28</v>
      </c>
      <c r="C410" s="3" t="s">
        <v>9</v>
      </c>
      <c r="D410" s="3">
        <v>4</v>
      </c>
      <c r="E410" s="4">
        <v>5322.27</v>
      </c>
      <c r="F410" s="4">
        <f t="shared" si="6"/>
        <v>21289.08</v>
      </c>
      <c r="G410" s="3" t="s">
        <v>18</v>
      </c>
      <c r="H410" s="5">
        <v>46055</v>
      </c>
      <c r="I410" s="3" t="str">
        <f>TEXT(Table1[[#This Row],[Date]],"mmm")</f>
        <v>Feb</v>
      </c>
    </row>
    <row r="411" spans="1:9" x14ac:dyDescent="0.3">
      <c r="A411" s="3" t="s">
        <v>445</v>
      </c>
      <c r="B411" s="3" t="s">
        <v>55</v>
      </c>
      <c r="C411" s="3" t="s">
        <v>25</v>
      </c>
      <c r="D411" s="3">
        <v>1</v>
      </c>
      <c r="E411" s="4">
        <v>2474</v>
      </c>
      <c r="F411" s="4">
        <f t="shared" si="6"/>
        <v>2474</v>
      </c>
      <c r="G411" s="3" t="s">
        <v>14</v>
      </c>
      <c r="H411" s="5">
        <v>46111</v>
      </c>
      <c r="I411" s="3" t="str">
        <f>TEXT(Table1[[#This Row],[Date]],"mmm")</f>
        <v>Mar</v>
      </c>
    </row>
    <row r="412" spans="1:9" x14ac:dyDescent="0.3">
      <c r="A412" s="3" t="s">
        <v>446</v>
      </c>
      <c r="B412" s="3" t="s">
        <v>72</v>
      </c>
      <c r="C412" s="3" t="s">
        <v>13</v>
      </c>
      <c r="D412" s="3">
        <v>5</v>
      </c>
      <c r="E412" s="4">
        <v>2261.5100000000002</v>
      </c>
      <c r="F412" s="4">
        <f t="shared" si="6"/>
        <v>11307.550000000001</v>
      </c>
      <c r="G412" s="3" t="s">
        <v>26</v>
      </c>
      <c r="H412" s="5">
        <v>46056</v>
      </c>
      <c r="I412" s="3" t="str">
        <f>TEXT(Table1[[#This Row],[Date]],"mmm")</f>
        <v>Feb</v>
      </c>
    </row>
    <row r="413" spans="1:9" x14ac:dyDescent="0.3">
      <c r="A413" s="3" t="s">
        <v>447</v>
      </c>
      <c r="B413" s="3" t="s">
        <v>28</v>
      </c>
      <c r="C413" s="3" t="s">
        <v>9</v>
      </c>
      <c r="D413" s="3">
        <v>5</v>
      </c>
      <c r="E413" s="4">
        <v>5409.63</v>
      </c>
      <c r="F413" s="4">
        <f t="shared" si="6"/>
        <v>27048.15</v>
      </c>
      <c r="G413" s="3" t="s">
        <v>46</v>
      </c>
      <c r="H413" s="5">
        <v>46054</v>
      </c>
      <c r="I413" s="3" t="str">
        <f>TEXT(Table1[[#This Row],[Date]],"mmm")</f>
        <v>Feb</v>
      </c>
    </row>
    <row r="414" spans="1:9" x14ac:dyDescent="0.3">
      <c r="A414" s="3" t="s">
        <v>448</v>
      </c>
      <c r="B414" s="3" t="s">
        <v>80</v>
      </c>
      <c r="C414" s="3" t="s">
        <v>39</v>
      </c>
      <c r="D414" s="3">
        <v>2</v>
      </c>
      <c r="E414" s="4">
        <v>4035.46</v>
      </c>
      <c r="F414" s="4">
        <f t="shared" si="6"/>
        <v>8070.92</v>
      </c>
      <c r="G414" s="3" t="s">
        <v>26</v>
      </c>
      <c r="H414" s="5">
        <v>46105</v>
      </c>
      <c r="I414" s="3" t="str">
        <f>TEXT(Table1[[#This Row],[Date]],"mmm")</f>
        <v>Mar</v>
      </c>
    </row>
    <row r="415" spans="1:9" x14ac:dyDescent="0.3">
      <c r="A415" s="3" t="s">
        <v>449</v>
      </c>
      <c r="B415" s="3" t="s">
        <v>21</v>
      </c>
      <c r="C415" s="3" t="s">
        <v>13</v>
      </c>
      <c r="D415" s="3">
        <v>2</v>
      </c>
      <c r="E415" s="4">
        <v>27137.73</v>
      </c>
      <c r="F415" s="4">
        <f t="shared" si="6"/>
        <v>54275.46</v>
      </c>
      <c r="G415" s="3" t="s">
        <v>14</v>
      </c>
      <c r="H415" s="5">
        <v>46095</v>
      </c>
      <c r="I415" s="3" t="str">
        <f>TEXT(Table1[[#This Row],[Date]],"mmm")</f>
        <v>Mar</v>
      </c>
    </row>
    <row r="416" spans="1:9" x14ac:dyDescent="0.3">
      <c r="A416" s="3" t="s">
        <v>450</v>
      </c>
      <c r="B416" s="3" t="s">
        <v>38</v>
      </c>
      <c r="C416" s="3" t="s">
        <v>39</v>
      </c>
      <c r="D416" s="3">
        <v>1</v>
      </c>
      <c r="E416" s="4">
        <v>6175.79</v>
      </c>
      <c r="F416" s="4">
        <f t="shared" si="6"/>
        <v>6175.79</v>
      </c>
      <c r="G416" s="3" t="s">
        <v>14</v>
      </c>
      <c r="H416" s="5">
        <v>46093</v>
      </c>
      <c r="I416" s="3" t="str">
        <f>TEXT(Table1[[#This Row],[Date]],"mmm")</f>
        <v>Mar</v>
      </c>
    </row>
    <row r="417" spans="1:9" x14ac:dyDescent="0.3">
      <c r="A417" s="3" t="s">
        <v>451</v>
      </c>
      <c r="B417" s="3" t="s">
        <v>72</v>
      </c>
      <c r="C417" s="3" t="s">
        <v>13</v>
      </c>
      <c r="D417" s="3">
        <v>3</v>
      </c>
      <c r="E417" s="4">
        <v>2250.35</v>
      </c>
      <c r="F417" s="4">
        <f t="shared" si="6"/>
        <v>6751.0499999999993</v>
      </c>
      <c r="G417" s="3" t="s">
        <v>18</v>
      </c>
      <c r="H417" s="5">
        <v>46151</v>
      </c>
      <c r="I417" s="3" t="str">
        <f>TEXT(Table1[[#This Row],[Date]],"mmm")</f>
        <v>May</v>
      </c>
    </row>
    <row r="418" spans="1:9" x14ac:dyDescent="0.3">
      <c r="A418" s="3" t="s">
        <v>452</v>
      </c>
      <c r="B418" s="3" t="s">
        <v>8</v>
      </c>
      <c r="C418" s="3" t="s">
        <v>9</v>
      </c>
      <c r="D418" s="3">
        <v>2</v>
      </c>
      <c r="E418" s="4">
        <v>1833.05</v>
      </c>
      <c r="F418" s="4">
        <f t="shared" si="6"/>
        <v>3666.1</v>
      </c>
      <c r="G418" s="3" t="s">
        <v>50</v>
      </c>
      <c r="H418" s="5">
        <v>46062</v>
      </c>
      <c r="I418" s="3" t="str">
        <f>TEXT(Table1[[#This Row],[Date]],"mmm")</f>
        <v>Feb</v>
      </c>
    </row>
    <row r="419" spans="1:9" x14ac:dyDescent="0.3">
      <c r="A419" s="3" t="s">
        <v>453</v>
      </c>
      <c r="B419" s="3" t="s">
        <v>72</v>
      </c>
      <c r="C419" s="3" t="s">
        <v>13</v>
      </c>
      <c r="D419" s="3">
        <v>5</v>
      </c>
      <c r="E419" s="4">
        <v>2297.08</v>
      </c>
      <c r="F419" s="4">
        <f t="shared" si="6"/>
        <v>11485.4</v>
      </c>
      <c r="G419" s="3" t="s">
        <v>50</v>
      </c>
      <c r="H419" s="5">
        <v>46109</v>
      </c>
      <c r="I419" s="3" t="str">
        <f>TEXT(Table1[[#This Row],[Date]],"mmm")</f>
        <v>Mar</v>
      </c>
    </row>
    <row r="420" spans="1:9" x14ac:dyDescent="0.3">
      <c r="A420" s="3" t="s">
        <v>454</v>
      </c>
      <c r="B420" s="3" t="s">
        <v>38</v>
      </c>
      <c r="C420" s="3" t="s">
        <v>39</v>
      </c>
      <c r="D420" s="3">
        <v>5</v>
      </c>
      <c r="E420" s="4">
        <v>5903.55</v>
      </c>
      <c r="F420" s="4">
        <f t="shared" si="6"/>
        <v>29517.75</v>
      </c>
      <c r="G420" s="3" t="s">
        <v>46</v>
      </c>
      <c r="H420" s="5">
        <v>46043</v>
      </c>
      <c r="I420" s="3" t="str">
        <f>TEXT(Table1[[#This Row],[Date]],"mmm")</f>
        <v>Jan</v>
      </c>
    </row>
    <row r="421" spans="1:9" x14ac:dyDescent="0.3">
      <c r="A421" s="3" t="s">
        <v>455</v>
      </c>
      <c r="B421" s="3" t="s">
        <v>91</v>
      </c>
      <c r="C421" s="3" t="s">
        <v>13</v>
      </c>
      <c r="D421" s="3">
        <v>5</v>
      </c>
      <c r="E421" s="4">
        <v>52411.21</v>
      </c>
      <c r="F421" s="4">
        <f t="shared" si="6"/>
        <v>262056.05</v>
      </c>
      <c r="G421" s="3" t="s">
        <v>29</v>
      </c>
      <c r="H421" s="5">
        <v>46169</v>
      </c>
      <c r="I421" s="3" t="str">
        <f>TEXT(Table1[[#This Row],[Date]],"mmm")</f>
        <v>May</v>
      </c>
    </row>
    <row r="422" spans="1:9" x14ac:dyDescent="0.3">
      <c r="A422" s="3" t="s">
        <v>456</v>
      </c>
      <c r="B422" s="3" t="s">
        <v>28</v>
      </c>
      <c r="C422" s="3" t="s">
        <v>9</v>
      </c>
      <c r="D422" s="3">
        <v>5</v>
      </c>
      <c r="E422" s="4">
        <v>5137.96</v>
      </c>
      <c r="F422" s="4">
        <f t="shared" si="6"/>
        <v>25689.8</v>
      </c>
      <c r="G422" s="3" t="s">
        <v>22</v>
      </c>
      <c r="H422" s="5">
        <v>46183</v>
      </c>
      <c r="I422" s="3" t="str">
        <f>TEXT(Table1[[#This Row],[Date]],"mmm")</f>
        <v>Jun</v>
      </c>
    </row>
    <row r="423" spans="1:9" x14ac:dyDescent="0.3">
      <c r="A423" s="3" t="s">
        <v>457</v>
      </c>
      <c r="B423" s="3" t="s">
        <v>80</v>
      </c>
      <c r="C423" s="3" t="s">
        <v>39</v>
      </c>
      <c r="D423" s="3">
        <v>3</v>
      </c>
      <c r="E423" s="4">
        <v>4319.2</v>
      </c>
      <c r="F423" s="4">
        <f t="shared" si="6"/>
        <v>12957.599999999999</v>
      </c>
      <c r="G423" s="3" t="s">
        <v>10</v>
      </c>
      <c r="H423" s="5">
        <v>46146</v>
      </c>
      <c r="I423" s="3" t="str">
        <f>TEXT(Table1[[#This Row],[Date]],"mmm")</f>
        <v>May</v>
      </c>
    </row>
    <row r="424" spans="1:9" x14ac:dyDescent="0.3">
      <c r="A424" s="3" t="s">
        <v>458</v>
      </c>
      <c r="B424" s="3" t="s">
        <v>12</v>
      </c>
      <c r="C424" s="3" t="s">
        <v>13</v>
      </c>
      <c r="D424" s="3">
        <v>4</v>
      </c>
      <c r="E424" s="4">
        <v>1439.23</v>
      </c>
      <c r="F424" s="4">
        <f t="shared" si="6"/>
        <v>5756.92</v>
      </c>
      <c r="G424" s="3" t="s">
        <v>18</v>
      </c>
      <c r="H424" s="5">
        <v>46199</v>
      </c>
      <c r="I424" s="3" t="str">
        <f>TEXT(Table1[[#This Row],[Date]],"mmm")</f>
        <v>Jun</v>
      </c>
    </row>
    <row r="425" spans="1:9" x14ac:dyDescent="0.3">
      <c r="A425" s="3" t="s">
        <v>459</v>
      </c>
      <c r="B425" s="3" t="s">
        <v>91</v>
      </c>
      <c r="C425" s="3" t="s">
        <v>13</v>
      </c>
      <c r="D425" s="3">
        <v>2</v>
      </c>
      <c r="E425" s="4">
        <v>54335.66</v>
      </c>
      <c r="F425" s="4">
        <f t="shared" si="6"/>
        <v>108671.32</v>
      </c>
      <c r="G425" s="3" t="s">
        <v>22</v>
      </c>
      <c r="H425" s="5">
        <v>46141</v>
      </c>
      <c r="I425" s="3" t="str">
        <f>TEXT(Table1[[#This Row],[Date]],"mmm")</f>
        <v>Apr</v>
      </c>
    </row>
    <row r="426" spans="1:9" x14ac:dyDescent="0.3">
      <c r="A426" s="3" t="s">
        <v>460</v>
      </c>
      <c r="B426" s="3" t="s">
        <v>12</v>
      </c>
      <c r="C426" s="3" t="s">
        <v>13</v>
      </c>
      <c r="D426" s="3">
        <v>3</v>
      </c>
      <c r="E426" s="4">
        <v>1532</v>
      </c>
      <c r="F426" s="4">
        <f t="shared" si="6"/>
        <v>4596</v>
      </c>
      <c r="G426" s="3" t="s">
        <v>32</v>
      </c>
      <c r="H426" s="5">
        <v>46104</v>
      </c>
      <c r="I426" s="3" t="str">
        <f>TEXT(Table1[[#This Row],[Date]],"mmm")</f>
        <v>Mar</v>
      </c>
    </row>
    <row r="427" spans="1:9" x14ac:dyDescent="0.3">
      <c r="A427" s="3" t="s">
        <v>461</v>
      </c>
      <c r="B427" s="3" t="s">
        <v>21</v>
      </c>
      <c r="C427" s="3" t="s">
        <v>13</v>
      </c>
      <c r="D427" s="3">
        <v>3</v>
      </c>
      <c r="E427" s="4">
        <v>30662.1</v>
      </c>
      <c r="F427" s="4">
        <f t="shared" si="6"/>
        <v>91986.299999999988</v>
      </c>
      <c r="G427" s="3" t="s">
        <v>26</v>
      </c>
      <c r="H427" s="5">
        <v>46117</v>
      </c>
      <c r="I427" s="3" t="str">
        <f>TEXT(Table1[[#This Row],[Date]],"mmm")</f>
        <v>Apr</v>
      </c>
    </row>
    <row r="428" spans="1:9" x14ac:dyDescent="0.3">
      <c r="A428" s="3" t="s">
        <v>462</v>
      </c>
      <c r="B428" s="3" t="s">
        <v>80</v>
      </c>
      <c r="C428" s="3" t="s">
        <v>39</v>
      </c>
      <c r="D428" s="3">
        <v>5</v>
      </c>
      <c r="E428" s="4">
        <v>3869.19</v>
      </c>
      <c r="F428" s="4">
        <f t="shared" si="6"/>
        <v>19345.95</v>
      </c>
      <c r="G428" s="3" t="s">
        <v>29</v>
      </c>
      <c r="H428" s="5">
        <v>46142</v>
      </c>
      <c r="I428" s="3" t="str">
        <f>TEXT(Table1[[#This Row],[Date]],"mmm")</f>
        <v>Apr</v>
      </c>
    </row>
    <row r="429" spans="1:9" x14ac:dyDescent="0.3">
      <c r="A429" s="3" t="s">
        <v>463</v>
      </c>
      <c r="B429" s="3" t="s">
        <v>31</v>
      </c>
      <c r="C429" s="3" t="s">
        <v>13</v>
      </c>
      <c r="D429" s="3">
        <v>3</v>
      </c>
      <c r="E429" s="4">
        <v>17818.55</v>
      </c>
      <c r="F429" s="4">
        <f t="shared" si="6"/>
        <v>53455.649999999994</v>
      </c>
      <c r="G429" s="3" t="s">
        <v>26</v>
      </c>
      <c r="H429" s="5">
        <v>46047</v>
      </c>
      <c r="I429" s="3" t="str">
        <f>TEXT(Table1[[#This Row],[Date]],"mmm")</f>
        <v>Jan</v>
      </c>
    </row>
    <row r="430" spans="1:9" x14ac:dyDescent="0.3">
      <c r="A430" s="3" t="s">
        <v>464</v>
      </c>
      <c r="B430" s="3" t="s">
        <v>91</v>
      </c>
      <c r="C430" s="3" t="s">
        <v>13</v>
      </c>
      <c r="D430" s="3">
        <v>3</v>
      </c>
      <c r="E430" s="4">
        <v>59899.23</v>
      </c>
      <c r="F430" s="4">
        <f t="shared" si="6"/>
        <v>179697.69</v>
      </c>
      <c r="G430" s="3" t="s">
        <v>50</v>
      </c>
      <c r="H430" s="5">
        <v>46130</v>
      </c>
      <c r="I430" s="3" t="str">
        <f>TEXT(Table1[[#This Row],[Date]],"mmm")</f>
        <v>Apr</v>
      </c>
    </row>
    <row r="431" spans="1:9" x14ac:dyDescent="0.3">
      <c r="A431" s="3" t="s">
        <v>465</v>
      </c>
      <c r="B431" s="3" t="s">
        <v>12</v>
      </c>
      <c r="C431" s="3" t="s">
        <v>13</v>
      </c>
      <c r="D431" s="3">
        <v>2</v>
      </c>
      <c r="E431" s="4">
        <v>1594.04</v>
      </c>
      <c r="F431" s="4">
        <f t="shared" si="6"/>
        <v>3188.08</v>
      </c>
      <c r="G431" s="3" t="s">
        <v>50</v>
      </c>
      <c r="H431" s="5">
        <v>46103</v>
      </c>
      <c r="I431" s="3" t="str">
        <f>TEXT(Table1[[#This Row],[Date]],"mmm")</f>
        <v>Mar</v>
      </c>
    </row>
    <row r="432" spans="1:9" x14ac:dyDescent="0.3">
      <c r="A432" s="3" t="s">
        <v>466</v>
      </c>
      <c r="B432" s="3" t="s">
        <v>12</v>
      </c>
      <c r="C432" s="3" t="s">
        <v>13</v>
      </c>
      <c r="D432" s="3">
        <v>2</v>
      </c>
      <c r="E432" s="4">
        <v>1499.48</v>
      </c>
      <c r="F432" s="4">
        <f t="shared" si="6"/>
        <v>2998.96</v>
      </c>
      <c r="G432" s="3" t="s">
        <v>14</v>
      </c>
      <c r="H432" s="5">
        <v>46142</v>
      </c>
      <c r="I432" s="3" t="str">
        <f>TEXT(Table1[[#This Row],[Date]],"mmm")</f>
        <v>Apr</v>
      </c>
    </row>
    <row r="433" spans="1:9" x14ac:dyDescent="0.3">
      <c r="A433" s="3" t="s">
        <v>467</v>
      </c>
      <c r="B433" s="3" t="s">
        <v>44</v>
      </c>
      <c r="C433" s="3" t="s">
        <v>39</v>
      </c>
      <c r="D433" s="3">
        <v>3</v>
      </c>
      <c r="E433" s="4">
        <v>3498.16</v>
      </c>
      <c r="F433" s="4">
        <f t="shared" si="6"/>
        <v>10494.48</v>
      </c>
      <c r="G433" s="3" t="s">
        <v>18</v>
      </c>
      <c r="H433" s="5">
        <v>46123</v>
      </c>
      <c r="I433" s="3" t="str">
        <f>TEXT(Table1[[#This Row],[Date]],"mmm")</f>
        <v>Apr</v>
      </c>
    </row>
    <row r="434" spans="1:9" x14ac:dyDescent="0.3">
      <c r="A434" s="3" t="s">
        <v>468</v>
      </c>
      <c r="B434" s="3" t="s">
        <v>80</v>
      </c>
      <c r="C434" s="3" t="s">
        <v>39</v>
      </c>
      <c r="D434" s="3">
        <v>4</v>
      </c>
      <c r="E434" s="4">
        <v>4592.0200000000004</v>
      </c>
      <c r="F434" s="4">
        <f t="shared" si="6"/>
        <v>18368.080000000002</v>
      </c>
      <c r="G434" s="3" t="s">
        <v>29</v>
      </c>
      <c r="H434" s="5">
        <v>46172</v>
      </c>
      <c r="I434" s="3" t="str">
        <f>TEXT(Table1[[#This Row],[Date]],"mmm")</f>
        <v>May</v>
      </c>
    </row>
    <row r="435" spans="1:9" x14ac:dyDescent="0.3">
      <c r="A435" s="3" t="s">
        <v>469</v>
      </c>
      <c r="B435" s="3" t="s">
        <v>55</v>
      </c>
      <c r="C435" s="3" t="s">
        <v>25</v>
      </c>
      <c r="D435" s="3">
        <v>1</v>
      </c>
      <c r="E435" s="4">
        <v>2274.36</v>
      </c>
      <c r="F435" s="4">
        <f t="shared" si="6"/>
        <v>2274.36</v>
      </c>
      <c r="G435" s="3" t="s">
        <v>22</v>
      </c>
      <c r="H435" s="5">
        <v>46175</v>
      </c>
      <c r="I435" s="3" t="str">
        <f>TEXT(Table1[[#This Row],[Date]],"mmm")</f>
        <v>Jun</v>
      </c>
    </row>
    <row r="436" spans="1:9" x14ac:dyDescent="0.3">
      <c r="A436" s="3" t="s">
        <v>470</v>
      </c>
      <c r="B436" s="3" t="s">
        <v>38</v>
      </c>
      <c r="C436" s="3" t="s">
        <v>39</v>
      </c>
      <c r="D436" s="3">
        <v>4</v>
      </c>
      <c r="E436" s="4">
        <v>6221.47</v>
      </c>
      <c r="F436" s="4">
        <f t="shared" si="6"/>
        <v>24885.88</v>
      </c>
      <c r="G436" s="3" t="s">
        <v>46</v>
      </c>
      <c r="H436" s="5">
        <v>46050</v>
      </c>
      <c r="I436" s="3" t="str">
        <f>TEXT(Table1[[#This Row],[Date]],"mmm")</f>
        <v>Jan</v>
      </c>
    </row>
    <row r="437" spans="1:9" x14ac:dyDescent="0.3">
      <c r="A437" s="3" t="s">
        <v>471</v>
      </c>
      <c r="B437" s="3" t="s">
        <v>28</v>
      </c>
      <c r="C437" s="3" t="s">
        <v>9</v>
      </c>
      <c r="D437" s="3">
        <v>2</v>
      </c>
      <c r="E437" s="4">
        <v>5381.38</v>
      </c>
      <c r="F437" s="4">
        <f t="shared" si="6"/>
        <v>10762.76</v>
      </c>
      <c r="G437" s="3" t="s">
        <v>32</v>
      </c>
      <c r="H437" s="5">
        <v>46126</v>
      </c>
      <c r="I437" s="3" t="str">
        <f>TEXT(Table1[[#This Row],[Date]],"mmm")</f>
        <v>Apr</v>
      </c>
    </row>
    <row r="438" spans="1:9" x14ac:dyDescent="0.3">
      <c r="A438" s="3" t="s">
        <v>472</v>
      </c>
      <c r="B438" s="3" t="s">
        <v>55</v>
      </c>
      <c r="C438" s="3" t="s">
        <v>25</v>
      </c>
      <c r="D438" s="3">
        <v>1</v>
      </c>
      <c r="E438" s="4">
        <v>2449.31</v>
      </c>
      <c r="F438" s="4">
        <f t="shared" si="6"/>
        <v>2449.31</v>
      </c>
      <c r="G438" s="3" t="s">
        <v>50</v>
      </c>
      <c r="H438" s="5">
        <v>46166</v>
      </c>
      <c r="I438" s="3" t="str">
        <f>TEXT(Table1[[#This Row],[Date]],"mmm")</f>
        <v>May</v>
      </c>
    </row>
    <row r="439" spans="1:9" x14ac:dyDescent="0.3">
      <c r="A439" s="3" t="s">
        <v>473</v>
      </c>
      <c r="B439" s="3" t="s">
        <v>12</v>
      </c>
      <c r="C439" s="3" t="s">
        <v>13</v>
      </c>
      <c r="D439" s="3">
        <v>3</v>
      </c>
      <c r="E439" s="4">
        <v>1515.97</v>
      </c>
      <c r="F439" s="4">
        <f t="shared" si="6"/>
        <v>4547.91</v>
      </c>
      <c r="G439" s="3" t="s">
        <v>18</v>
      </c>
      <c r="H439" s="5">
        <v>46121</v>
      </c>
      <c r="I439" s="3" t="str">
        <f>TEXT(Table1[[#This Row],[Date]],"mmm")</f>
        <v>Apr</v>
      </c>
    </row>
    <row r="440" spans="1:9" x14ac:dyDescent="0.3">
      <c r="A440" s="3" t="s">
        <v>474</v>
      </c>
      <c r="B440" s="3" t="s">
        <v>80</v>
      </c>
      <c r="C440" s="3" t="s">
        <v>39</v>
      </c>
      <c r="D440" s="3">
        <v>4</v>
      </c>
      <c r="E440" s="4">
        <v>4422.1000000000004</v>
      </c>
      <c r="F440" s="4">
        <f t="shared" si="6"/>
        <v>17688.400000000001</v>
      </c>
      <c r="G440" s="3" t="s">
        <v>10</v>
      </c>
      <c r="H440" s="5">
        <v>46182</v>
      </c>
      <c r="I440" s="3" t="str">
        <f>TEXT(Table1[[#This Row],[Date]],"mmm")</f>
        <v>Jun</v>
      </c>
    </row>
    <row r="441" spans="1:9" x14ac:dyDescent="0.3">
      <c r="A441" s="3" t="s">
        <v>475</v>
      </c>
      <c r="B441" s="3" t="s">
        <v>8</v>
      </c>
      <c r="C441" s="3" t="s">
        <v>9</v>
      </c>
      <c r="D441" s="3">
        <v>5</v>
      </c>
      <c r="E441" s="4">
        <v>1662.77</v>
      </c>
      <c r="F441" s="4">
        <f t="shared" si="6"/>
        <v>8313.85</v>
      </c>
      <c r="G441" s="3" t="s">
        <v>18</v>
      </c>
      <c r="H441" s="5">
        <v>46123</v>
      </c>
      <c r="I441" s="3" t="str">
        <f>TEXT(Table1[[#This Row],[Date]],"mmm")</f>
        <v>Apr</v>
      </c>
    </row>
    <row r="442" spans="1:9" x14ac:dyDescent="0.3">
      <c r="A442" s="3" t="s">
        <v>476</v>
      </c>
      <c r="B442" s="3" t="s">
        <v>55</v>
      </c>
      <c r="C442" s="3" t="s">
        <v>25</v>
      </c>
      <c r="D442" s="3">
        <v>3</v>
      </c>
      <c r="E442" s="4">
        <v>2527.9</v>
      </c>
      <c r="F442" s="4">
        <f t="shared" si="6"/>
        <v>7583.7000000000007</v>
      </c>
      <c r="G442" s="3" t="s">
        <v>32</v>
      </c>
      <c r="H442" s="5">
        <v>46059</v>
      </c>
      <c r="I442" s="3" t="str">
        <f>TEXT(Table1[[#This Row],[Date]],"mmm")</f>
        <v>Feb</v>
      </c>
    </row>
    <row r="443" spans="1:9" x14ac:dyDescent="0.3">
      <c r="A443" s="3" t="s">
        <v>477</v>
      </c>
      <c r="B443" s="3" t="s">
        <v>12</v>
      </c>
      <c r="C443" s="3" t="s">
        <v>13</v>
      </c>
      <c r="D443" s="3">
        <v>5</v>
      </c>
      <c r="E443" s="4">
        <v>1502.74</v>
      </c>
      <c r="F443" s="4">
        <f t="shared" si="6"/>
        <v>7513.7</v>
      </c>
      <c r="G443" s="3" t="s">
        <v>14</v>
      </c>
      <c r="H443" s="5">
        <v>46033</v>
      </c>
      <c r="I443" s="3" t="str">
        <f>TEXT(Table1[[#This Row],[Date]],"mmm")</f>
        <v>Jan</v>
      </c>
    </row>
    <row r="444" spans="1:9" x14ac:dyDescent="0.3">
      <c r="A444" s="3" t="s">
        <v>478</v>
      </c>
      <c r="B444" s="3" t="s">
        <v>91</v>
      </c>
      <c r="C444" s="3" t="s">
        <v>13</v>
      </c>
      <c r="D444" s="3">
        <v>1</v>
      </c>
      <c r="E444" s="4">
        <v>51007.4</v>
      </c>
      <c r="F444" s="4">
        <f t="shared" si="6"/>
        <v>51007.4</v>
      </c>
      <c r="G444" s="3" t="s">
        <v>32</v>
      </c>
      <c r="H444" s="5">
        <v>46144</v>
      </c>
      <c r="I444" s="3" t="str">
        <f>TEXT(Table1[[#This Row],[Date]],"mmm")</f>
        <v>May</v>
      </c>
    </row>
    <row r="445" spans="1:9" x14ac:dyDescent="0.3">
      <c r="A445" s="3" t="s">
        <v>479</v>
      </c>
      <c r="B445" s="3" t="s">
        <v>80</v>
      </c>
      <c r="C445" s="3" t="s">
        <v>39</v>
      </c>
      <c r="D445" s="3">
        <v>4</v>
      </c>
      <c r="E445" s="4">
        <v>3905.11</v>
      </c>
      <c r="F445" s="4">
        <f t="shared" si="6"/>
        <v>15620.44</v>
      </c>
      <c r="G445" s="3" t="s">
        <v>14</v>
      </c>
      <c r="H445" s="5">
        <v>46058</v>
      </c>
      <c r="I445" s="3" t="str">
        <f>TEXT(Table1[[#This Row],[Date]],"mmm")</f>
        <v>Feb</v>
      </c>
    </row>
    <row r="446" spans="1:9" x14ac:dyDescent="0.3">
      <c r="A446" s="3" t="s">
        <v>480</v>
      </c>
      <c r="B446" s="3" t="s">
        <v>55</v>
      </c>
      <c r="C446" s="3" t="s">
        <v>25</v>
      </c>
      <c r="D446" s="3">
        <v>5</v>
      </c>
      <c r="E446" s="4">
        <v>2408.3000000000002</v>
      </c>
      <c r="F446" s="4">
        <f t="shared" si="6"/>
        <v>12041.5</v>
      </c>
      <c r="G446" s="3" t="s">
        <v>48</v>
      </c>
      <c r="H446" s="5">
        <v>46180</v>
      </c>
      <c r="I446" s="3" t="str">
        <f>TEXT(Table1[[#This Row],[Date]],"mmm")</f>
        <v>Jun</v>
      </c>
    </row>
    <row r="447" spans="1:9" x14ac:dyDescent="0.3">
      <c r="A447" s="3" t="s">
        <v>481</v>
      </c>
      <c r="B447" s="3" t="s">
        <v>21</v>
      </c>
      <c r="C447" s="3" t="s">
        <v>13</v>
      </c>
      <c r="D447" s="3">
        <v>3</v>
      </c>
      <c r="E447" s="4">
        <v>28524.86</v>
      </c>
      <c r="F447" s="4">
        <f t="shared" si="6"/>
        <v>85574.58</v>
      </c>
      <c r="G447" s="3" t="s">
        <v>14</v>
      </c>
      <c r="H447" s="5">
        <v>46153</v>
      </c>
      <c r="I447" s="3" t="str">
        <f>TEXT(Table1[[#This Row],[Date]],"mmm")</f>
        <v>May</v>
      </c>
    </row>
    <row r="448" spans="1:9" x14ac:dyDescent="0.3">
      <c r="A448" s="3" t="s">
        <v>482</v>
      </c>
      <c r="B448" s="3" t="s">
        <v>80</v>
      </c>
      <c r="C448" s="3" t="s">
        <v>39</v>
      </c>
      <c r="D448" s="3">
        <v>4</v>
      </c>
      <c r="E448" s="4">
        <v>4375.34</v>
      </c>
      <c r="F448" s="4">
        <f t="shared" si="6"/>
        <v>17501.36</v>
      </c>
      <c r="G448" s="3" t="s">
        <v>10</v>
      </c>
      <c r="H448" s="5">
        <v>46144</v>
      </c>
      <c r="I448" s="3" t="str">
        <f>TEXT(Table1[[#This Row],[Date]],"mmm")</f>
        <v>May</v>
      </c>
    </row>
    <row r="449" spans="1:9" x14ac:dyDescent="0.3">
      <c r="A449" s="3" t="s">
        <v>483</v>
      </c>
      <c r="B449" s="3" t="s">
        <v>38</v>
      </c>
      <c r="C449" s="3" t="s">
        <v>39</v>
      </c>
      <c r="D449" s="3">
        <v>1</v>
      </c>
      <c r="E449" s="4">
        <v>6328.87</v>
      </c>
      <c r="F449" s="4">
        <f t="shared" si="6"/>
        <v>6328.87</v>
      </c>
      <c r="G449" s="3" t="s">
        <v>18</v>
      </c>
      <c r="H449" s="5">
        <v>46129</v>
      </c>
      <c r="I449" s="3" t="str">
        <f>TEXT(Table1[[#This Row],[Date]],"mmm")</f>
        <v>Apr</v>
      </c>
    </row>
    <row r="450" spans="1:9" x14ac:dyDescent="0.3">
      <c r="A450" s="3" t="s">
        <v>484</v>
      </c>
      <c r="B450" s="3" t="s">
        <v>16</v>
      </c>
      <c r="C450" s="3" t="s">
        <v>17</v>
      </c>
      <c r="D450" s="3">
        <v>3</v>
      </c>
      <c r="E450" s="4">
        <v>476.71</v>
      </c>
      <c r="F450" s="4">
        <f t="shared" si="6"/>
        <v>1430.1299999999999</v>
      </c>
      <c r="G450" s="3" t="s">
        <v>46</v>
      </c>
      <c r="H450" s="5">
        <v>46175</v>
      </c>
      <c r="I450" s="3" t="str">
        <f>TEXT(Table1[[#This Row],[Date]],"mmm")</f>
        <v>Jun</v>
      </c>
    </row>
    <row r="451" spans="1:9" x14ac:dyDescent="0.3">
      <c r="A451" s="3" t="s">
        <v>485</v>
      </c>
      <c r="B451" s="3" t="s">
        <v>44</v>
      </c>
      <c r="C451" s="3" t="s">
        <v>39</v>
      </c>
      <c r="D451" s="3">
        <v>3</v>
      </c>
      <c r="E451" s="4">
        <v>3826.95</v>
      </c>
      <c r="F451" s="4">
        <f t="shared" ref="F451:F514" si="7">D451*E451</f>
        <v>11480.849999999999</v>
      </c>
      <c r="G451" s="3" t="s">
        <v>50</v>
      </c>
      <c r="H451" s="5">
        <v>46170</v>
      </c>
      <c r="I451" s="3" t="str">
        <f>TEXT(Table1[[#This Row],[Date]],"mmm")</f>
        <v>May</v>
      </c>
    </row>
    <row r="452" spans="1:9" x14ac:dyDescent="0.3">
      <c r="A452" s="3" t="s">
        <v>486</v>
      </c>
      <c r="B452" s="3" t="s">
        <v>12</v>
      </c>
      <c r="C452" s="3" t="s">
        <v>13</v>
      </c>
      <c r="D452" s="3">
        <v>1</v>
      </c>
      <c r="E452" s="4">
        <v>1525.06</v>
      </c>
      <c r="F452" s="4">
        <f t="shared" si="7"/>
        <v>1525.06</v>
      </c>
      <c r="G452" s="3" t="s">
        <v>26</v>
      </c>
      <c r="H452" s="5">
        <v>46157</v>
      </c>
      <c r="I452" s="3" t="str">
        <f>TEXT(Table1[[#This Row],[Date]],"mmm")</f>
        <v>May</v>
      </c>
    </row>
    <row r="453" spans="1:9" x14ac:dyDescent="0.3">
      <c r="A453" s="3" t="s">
        <v>487</v>
      </c>
      <c r="B453" s="3" t="s">
        <v>8</v>
      </c>
      <c r="C453" s="3" t="s">
        <v>9</v>
      </c>
      <c r="D453" s="3">
        <v>5</v>
      </c>
      <c r="E453" s="4">
        <v>1898.86</v>
      </c>
      <c r="F453" s="4">
        <f t="shared" si="7"/>
        <v>9494.2999999999993</v>
      </c>
      <c r="G453" s="3" t="s">
        <v>48</v>
      </c>
      <c r="H453" s="5">
        <v>46060</v>
      </c>
      <c r="I453" s="3" t="str">
        <f>TEXT(Table1[[#This Row],[Date]],"mmm")</f>
        <v>Feb</v>
      </c>
    </row>
    <row r="454" spans="1:9" x14ac:dyDescent="0.3">
      <c r="A454" s="3" t="s">
        <v>488</v>
      </c>
      <c r="B454" s="3" t="s">
        <v>38</v>
      </c>
      <c r="C454" s="3" t="s">
        <v>39</v>
      </c>
      <c r="D454" s="3">
        <v>2</v>
      </c>
      <c r="E454" s="4">
        <v>5891.04</v>
      </c>
      <c r="F454" s="4">
        <f t="shared" si="7"/>
        <v>11782.08</v>
      </c>
      <c r="G454" s="3" t="s">
        <v>18</v>
      </c>
      <c r="H454" s="5">
        <v>46071</v>
      </c>
      <c r="I454" s="3" t="str">
        <f>TEXT(Table1[[#This Row],[Date]],"mmm")</f>
        <v>Feb</v>
      </c>
    </row>
    <row r="455" spans="1:9" x14ac:dyDescent="0.3">
      <c r="A455" s="3" t="s">
        <v>489</v>
      </c>
      <c r="B455" s="3" t="s">
        <v>91</v>
      </c>
      <c r="C455" s="3" t="s">
        <v>13</v>
      </c>
      <c r="D455" s="3">
        <v>4</v>
      </c>
      <c r="E455" s="4">
        <v>52950.62</v>
      </c>
      <c r="F455" s="4">
        <f t="shared" si="7"/>
        <v>211802.48</v>
      </c>
      <c r="G455" s="3" t="s">
        <v>26</v>
      </c>
      <c r="H455" s="5">
        <v>46128</v>
      </c>
      <c r="I455" s="3" t="str">
        <f>TEXT(Table1[[#This Row],[Date]],"mmm")</f>
        <v>Apr</v>
      </c>
    </row>
    <row r="456" spans="1:9" x14ac:dyDescent="0.3">
      <c r="A456" s="3" t="s">
        <v>490</v>
      </c>
      <c r="B456" s="3" t="s">
        <v>21</v>
      </c>
      <c r="C456" s="3" t="s">
        <v>13</v>
      </c>
      <c r="D456" s="3">
        <v>2</v>
      </c>
      <c r="E456" s="4">
        <v>27498.11</v>
      </c>
      <c r="F456" s="4">
        <f t="shared" si="7"/>
        <v>54996.22</v>
      </c>
      <c r="G456" s="3" t="s">
        <v>50</v>
      </c>
      <c r="H456" s="5">
        <v>46143</v>
      </c>
      <c r="I456" s="3" t="str">
        <f>TEXT(Table1[[#This Row],[Date]],"mmm")</f>
        <v>May</v>
      </c>
    </row>
    <row r="457" spans="1:9" x14ac:dyDescent="0.3">
      <c r="A457" s="3" t="s">
        <v>491</v>
      </c>
      <c r="B457" s="3" t="s">
        <v>38</v>
      </c>
      <c r="C457" s="3" t="s">
        <v>39</v>
      </c>
      <c r="D457" s="3">
        <v>1</v>
      </c>
      <c r="E457" s="4">
        <v>6767.51</v>
      </c>
      <c r="F457" s="4">
        <f t="shared" si="7"/>
        <v>6767.51</v>
      </c>
      <c r="G457" s="3" t="s">
        <v>14</v>
      </c>
      <c r="H457" s="5">
        <v>46076</v>
      </c>
      <c r="I457" s="3" t="str">
        <f>TEXT(Table1[[#This Row],[Date]],"mmm")</f>
        <v>Feb</v>
      </c>
    </row>
    <row r="458" spans="1:9" x14ac:dyDescent="0.3">
      <c r="A458" s="3" t="s">
        <v>492</v>
      </c>
      <c r="B458" s="3" t="s">
        <v>80</v>
      </c>
      <c r="C458" s="3" t="s">
        <v>39</v>
      </c>
      <c r="D458" s="3">
        <v>3</v>
      </c>
      <c r="E458" s="4">
        <v>4618.42</v>
      </c>
      <c r="F458" s="4">
        <f t="shared" si="7"/>
        <v>13855.26</v>
      </c>
      <c r="G458" s="3" t="s">
        <v>22</v>
      </c>
      <c r="H458" s="5">
        <v>46157</v>
      </c>
      <c r="I458" s="3" t="str">
        <f>TEXT(Table1[[#This Row],[Date]],"mmm")</f>
        <v>May</v>
      </c>
    </row>
    <row r="459" spans="1:9" x14ac:dyDescent="0.3">
      <c r="A459" s="3" t="s">
        <v>493</v>
      </c>
      <c r="B459" s="3" t="s">
        <v>28</v>
      </c>
      <c r="C459" s="3" t="s">
        <v>9</v>
      </c>
      <c r="D459" s="3">
        <v>3</v>
      </c>
      <c r="E459" s="4">
        <v>5455.59</v>
      </c>
      <c r="F459" s="4">
        <f t="shared" si="7"/>
        <v>16366.77</v>
      </c>
      <c r="G459" s="3" t="s">
        <v>22</v>
      </c>
      <c r="H459" s="5">
        <v>46159</v>
      </c>
      <c r="I459" s="3" t="str">
        <f>TEXT(Table1[[#This Row],[Date]],"mmm")</f>
        <v>May</v>
      </c>
    </row>
    <row r="460" spans="1:9" x14ac:dyDescent="0.3">
      <c r="A460" s="3" t="s">
        <v>494</v>
      </c>
      <c r="B460" s="3" t="s">
        <v>55</v>
      </c>
      <c r="C460" s="3" t="s">
        <v>25</v>
      </c>
      <c r="D460" s="3">
        <v>5</v>
      </c>
      <c r="E460" s="4">
        <v>2426.17</v>
      </c>
      <c r="F460" s="4">
        <f t="shared" si="7"/>
        <v>12130.85</v>
      </c>
      <c r="G460" s="3" t="s">
        <v>10</v>
      </c>
      <c r="H460" s="5">
        <v>46179</v>
      </c>
      <c r="I460" s="3" t="str">
        <f>TEXT(Table1[[#This Row],[Date]],"mmm")</f>
        <v>Jun</v>
      </c>
    </row>
    <row r="461" spans="1:9" x14ac:dyDescent="0.3">
      <c r="A461" s="3" t="s">
        <v>495</v>
      </c>
      <c r="B461" s="3" t="s">
        <v>44</v>
      </c>
      <c r="C461" s="3" t="s">
        <v>39</v>
      </c>
      <c r="D461" s="3">
        <v>2</v>
      </c>
      <c r="E461" s="4">
        <v>3820.14</v>
      </c>
      <c r="F461" s="4">
        <f t="shared" si="7"/>
        <v>7640.28</v>
      </c>
      <c r="G461" s="3" t="s">
        <v>10</v>
      </c>
      <c r="H461" s="5">
        <v>46165</v>
      </c>
      <c r="I461" s="3" t="str">
        <f>TEXT(Table1[[#This Row],[Date]],"mmm")</f>
        <v>May</v>
      </c>
    </row>
    <row r="462" spans="1:9" x14ac:dyDescent="0.3">
      <c r="A462" s="3" t="s">
        <v>496</v>
      </c>
      <c r="B462" s="3" t="s">
        <v>24</v>
      </c>
      <c r="C462" s="3" t="s">
        <v>25</v>
      </c>
      <c r="D462" s="3">
        <v>2</v>
      </c>
      <c r="E462" s="4">
        <v>869.55</v>
      </c>
      <c r="F462" s="4">
        <f t="shared" si="7"/>
        <v>1739.1</v>
      </c>
      <c r="G462" s="3" t="s">
        <v>10</v>
      </c>
      <c r="H462" s="5">
        <v>46096</v>
      </c>
      <c r="I462" s="3" t="str">
        <f>TEXT(Table1[[#This Row],[Date]],"mmm")</f>
        <v>Mar</v>
      </c>
    </row>
    <row r="463" spans="1:9" x14ac:dyDescent="0.3">
      <c r="A463" s="3" t="s">
        <v>497</v>
      </c>
      <c r="B463" s="3" t="s">
        <v>21</v>
      </c>
      <c r="C463" s="3" t="s">
        <v>13</v>
      </c>
      <c r="D463" s="3">
        <v>2</v>
      </c>
      <c r="E463" s="4">
        <v>29065.34</v>
      </c>
      <c r="F463" s="4">
        <f t="shared" si="7"/>
        <v>58130.68</v>
      </c>
      <c r="G463" s="3" t="s">
        <v>22</v>
      </c>
      <c r="H463" s="5">
        <v>46104</v>
      </c>
      <c r="I463" s="3" t="str">
        <f>TEXT(Table1[[#This Row],[Date]],"mmm")</f>
        <v>Mar</v>
      </c>
    </row>
    <row r="464" spans="1:9" x14ac:dyDescent="0.3">
      <c r="A464" s="3" t="s">
        <v>498</v>
      </c>
      <c r="B464" s="3" t="s">
        <v>44</v>
      </c>
      <c r="C464" s="3" t="s">
        <v>39</v>
      </c>
      <c r="D464" s="3">
        <v>3</v>
      </c>
      <c r="E464" s="4">
        <v>3542.34</v>
      </c>
      <c r="F464" s="4">
        <f t="shared" si="7"/>
        <v>10627.02</v>
      </c>
      <c r="G464" s="3" t="s">
        <v>10</v>
      </c>
      <c r="H464" s="5">
        <v>46096</v>
      </c>
      <c r="I464" s="3" t="str">
        <f>TEXT(Table1[[#This Row],[Date]],"mmm")</f>
        <v>Mar</v>
      </c>
    </row>
    <row r="465" spans="1:9" x14ac:dyDescent="0.3">
      <c r="A465" s="3" t="s">
        <v>499</v>
      </c>
      <c r="B465" s="3" t="s">
        <v>31</v>
      </c>
      <c r="C465" s="3" t="s">
        <v>13</v>
      </c>
      <c r="D465" s="3">
        <v>5</v>
      </c>
      <c r="E465" s="4">
        <v>18635.84</v>
      </c>
      <c r="F465" s="4">
        <f t="shared" si="7"/>
        <v>93179.199999999997</v>
      </c>
      <c r="G465" s="3" t="s">
        <v>48</v>
      </c>
      <c r="H465" s="5">
        <v>46124</v>
      </c>
      <c r="I465" s="3" t="str">
        <f>TEXT(Table1[[#This Row],[Date]],"mmm")</f>
        <v>Apr</v>
      </c>
    </row>
    <row r="466" spans="1:9" x14ac:dyDescent="0.3">
      <c r="A466" s="3" t="s">
        <v>500</v>
      </c>
      <c r="B466" s="3" t="s">
        <v>38</v>
      </c>
      <c r="C466" s="3" t="s">
        <v>39</v>
      </c>
      <c r="D466" s="3">
        <v>3</v>
      </c>
      <c r="E466" s="4">
        <v>7090.99</v>
      </c>
      <c r="F466" s="4">
        <f t="shared" si="7"/>
        <v>21272.97</v>
      </c>
      <c r="G466" s="3" t="s">
        <v>26</v>
      </c>
      <c r="H466" s="5">
        <v>46097</v>
      </c>
      <c r="I466" s="3" t="str">
        <f>TEXT(Table1[[#This Row],[Date]],"mmm")</f>
        <v>Mar</v>
      </c>
    </row>
    <row r="467" spans="1:9" x14ac:dyDescent="0.3">
      <c r="A467" s="3" t="s">
        <v>501</v>
      </c>
      <c r="B467" s="3" t="s">
        <v>91</v>
      </c>
      <c r="C467" s="3" t="s">
        <v>13</v>
      </c>
      <c r="D467" s="3">
        <v>3</v>
      </c>
      <c r="E467" s="4">
        <v>60008.45</v>
      </c>
      <c r="F467" s="4">
        <f t="shared" si="7"/>
        <v>180025.34999999998</v>
      </c>
      <c r="G467" s="3" t="s">
        <v>18</v>
      </c>
      <c r="H467" s="5">
        <v>46111</v>
      </c>
      <c r="I467" s="3" t="str">
        <f>TEXT(Table1[[#This Row],[Date]],"mmm")</f>
        <v>Mar</v>
      </c>
    </row>
    <row r="468" spans="1:9" x14ac:dyDescent="0.3">
      <c r="A468" s="3" t="s">
        <v>502</v>
      </c>
      <c r="B468" s="3" t="s">
        <v>44</v>
      </c>
      <c r="C468" s="3" t="s">
        <v>39</v>
      </c>
      <c r="D468" s="3">
        <v>3</v>
      </c>
      <c r="E468" s="4">
        <v>3673.14</v>
      </c>
      <c r="F468" s="4">
        <f t="shared" si="7"/>
        <v>11019.42</v>
      </c>
      <c r="G468" s="3" t="s">
        <v>29</v>
      </c>
      <c r="H468" s="5">
        <v>46074</v>
      </c>
      <c r="I468" s="3" t="str">
        <f>TEXT(Table1[[#This Row],[Date]],"mmm")</f>
        <v>Feb</v>
      </c>
    </row>
    <row r="469" spans="1:9" x14ac:dyDescent="0.3">
      <c r="A469" s="3" t="s">
        <v>503</v>
      </c>
      <c r="B469" s="3" t="s">
        <v>38</v>
      </c>
      <c r="C469" s="3" t="s">
        <v>39</v>
      </c>
      <c r="D469" s="3">
        <v>5</v>
      </c>
      <c r="E469" s="4">
        <v>6202.47</v>
      </c>
      <c r="F469" s="4">
        <f t="shared" si="7"/>
        <v>31012.350000000002</v>
      </c>
      <c r="G469" s="3" t="s">
        <v>14</v>
      </c>
      <c r="H469" s="5">
        <v>46201</v>
      </c>
      <c r="I469" s="3" t="str">
        <f>TEXT(Table1[[#This Row],[Date]],"mmm")</f>
        <v>Jun</v>
      </c>
    </row>
    <row r="470" spans="1:9" x14ac:dyDescent="0.3">
      <c r="A470" s="3" t="s">
        <v>504</v>
      </c>
      <c r="B470" s="3" t="s">
        <v>24</v>
      </c>
      <c r="C470" s="3" t="s">
        <v>25</v>
      </c>
      <c r="D470" s="3">
        <v>2</v>
      </c>
      <c r="E470" s="4">
        <v>736.55</v>
      </c>
      <c r="F470" s="4">
        <f t="shared" si="7"/>
        <v>1473.1</v>
      </c>
      <c r="G470" s="3" t="s">
        <v>50</v>
      </c>
      <c r="H470" s="5">
        <v>46084</v>
      </c>
      <c r="I470" s="3" t="str">
        <f>TEXT(Table1[[#This Row],[Date]],"mmm")</f>
        <v>Mar</v>
      </c>
    </row>
    <row r="471" spans="1:9" x14ac:dyDescent="0.3">
      <c r="A471" s="3" t="s">
        <v>505</v>
      </c>
      <c r="B471" s="3" t="s">
        <v>12</v>
      </c>
      <c r="C471" s="3" t="s">
        <v>13</v>
      </c>
      <c r="D471" s="3">
        <v>1</v>
      </c>
      <c r="E471" s="4">
        <v>1550.95</v>
      </c>
      <c r="F471" s="4">
        <f t="shared" si="7"/>
        <v>1550.95</v>
      </c>
      <c r="G471" s="3" t="s">
        <v>14</v>
      </c>
      <c r="H471" s="5">
        <v>46080</v>
      </c>
      <c r="I471" s="3" t="str">
        <f>TEXT(Table1[[#This Row],[Date]],"mmm")</f>
        <v>Feb</v>
      </c>
    </row>
    <row r="472" spans="1:9" x14ac:dyDescent="0.3">
      <c r="A472" s="3" t="s">
        <v>506</v>
      </c>
      <c r="B472" s="3" t="s">
        <v>8</v>
      </c>
      <c r="C472" s="3" t="s">
        <v>9</v>
      </c>
      <c r="D472" s="3">
        <v>2</v>
      </c>
      <c r="E472" s="4">
        <v>1638.9</v>
      </c>
      <c r="F472" s="4">
        <f t="shared" si="7"/>
        <v>3277.8</v>
      </c>
      <c r="G472" s="3" t="s">
        <v>48</v>
      </c>
      <c r="H472" s="5">
        <v>46107</v>
      </c>
      <c r="I472" s="3" t="str">
        <f>TEXT(Table1[[#This Row],[Date]],"mmm")</f>
        <v>Mar</v>
      </c>
    </row>
    <row r="473" spans="1:9" x14ac:dyDescent="0.3">
      <c r="A473" s="3" t="s">
        <v>507</v>
      </c>
      <c r="B473" s="3" t="s">
        <v>21</v>
      </c>
      <c r="C473" s="3" t="s">
        <v>13</v>
      </c>
      <c r="D473" s="3">
        <v>4</v>
      </c>
      <c r="E473" s="4">
        <v>25763.05</v>
      </c>
      <c r="F473" s="4">
        <f t="shared" si="7"/>
        <v>103052.2</v>
      </c>
      <c r="G473" s="3" t="s">
        <v>26</v>
      </c>
      <c r="H473" s="5">
        <v>46024</v>
      </c>
      <c r="I473" s="3" t="str">
        <f>TEXT(Table1[[#This Row],[Date]],"mmm")</f>
        <v>Jan</v>
      </c>
    </row>
    <row r="474" spans="1:9" x14ac:dyDescent="0.3">
      <c r="A474" s="3" t="s">
        <v>508</v>
      </c>
      <c r="B474" s="3" t="s">
        <v>80</v>
      </c>
      <c r="C474" s="3" t="s">
        <v>39</v>
      </c>
      <c r="D474" s="3">
        <v>2</v>
      </c>
      <c r="E474" s="4">
        <v>4121.8</v>
      </c>
      <c r="F474" s="4">
        <f t="shared" si="7"/>
        <v>8243.6</v>
      </c>
      <c r="G474" s="3" t="s">
        <v>22</v>
      </c>
      <c r="H474" s="5">
        <v>46145</v>
      </c>
      <c r="I474" s="3" t="str">
        <f>TEXT(Table1[[#This Row],[Date]],"mmm")</f>
        <v>May</v>
      </c>
    </row>
    <row r="475" spans="1:9" x14ac:dyDescent="0.3">
      <c r="A475" s="3" t="s">
        <v>509</v>
      </c>
      <c r="B475" s="3" t="s">
        <v>8</v>
      </c>
      <c r="C475" s="3" t="s">
        <v>9</v>
      </c>
      <c r="D475" s="3">
        <v>2</v>
      </c>
      <c r="E475" s="4">
        <v>1892.13</v>
      </c>
      <c r="F475" s="4">
        <f t="shared" si="7"/>
        <v>3784.26</v>
      </c>
      <c r="G475" s="3" t="s">
        <v>10</v>
      </c>
      <c r="H475" s="5">
        <v>46105</v>
      </c>
      <c r="I475" s="3" t="str">
        <f>TEXT(Table1[[#This Row],[Date]],"mmm")</f>
        <v>Mar</v>
      </c>
    </row>
    <row r="476" spans="1:9" x14ac:dyDescent="0.3">
      <c r="A476" s="3" t="s">
        <v>510</v>
      </c>
      <c r="B476" s="3" t="s">
        <v>24</v>
      </c>
      <c r="C476" s="3" t="s">
        <v>25</v>
      </c>
      <c r="D476" s="3">
        <v>1</v>
      </c>
      <c r="E476" s="4">
        <v>864.19</v>
      </c>
      <c r="F476" s="4">
        <f t="shared" si="7"/>
        <v>864.19</v>
      </c>
      <c r="G476" s="3" t="s">
        <v>18</v>
      </c>
      <c r="H476" s="5">
        <v>46189</v>
      </c>
      <c r="I476" s="3" t="str">
        <f>TEXT(Table1[[#This Row],[Date]],"mmm")</f>
        <v>Jun</v>
      </c>
    </row>
    <row r="477" spans="1:9" x14ac:dyDescent="0.3">
      <c r="A477" s="3" t="s">
        <v>511</v>
      </c>
      <c r="B477" s="3" t="s">
        <v>16</v>
      </c>
      <c r="C477" s="3" t="s">
        <v>17</v>
      </c>
      <c r="D477" s="3">
        <v>2</v>
      </c>
      <c r="E477" s="4">
        <v>453.16</v>
      </c>
      <c r="F477" s="4">
        <f t="shared" si="7"/>
        <v>906.32</v>
      </c>
      <c r="G477" s="3" t="s">
        <v>46</v>
      </c>
      <c r="H477" s="5">
        <v>46067</v>
      </c>
      <c r="I477" s="3" t="str">
        <f>TEXT(Table1[[#This Row],[Date]],"mmm")</f>
        <v>Feb</v>
      </c>
    </row>
    <row r="478" spans="1:9" x14ac:dyDescent="0.3">
      <c r="A478" s="3" t="s">
        <v>512</v>
      </c>
      <c r="B478" s="3" t="s">
        <v>28</v>
      </c>
      <c r="C478" s="3" t="s">
        <v>9</v>
      </c>
      <c r="D478" s="3">
        <v>2</v>
      </c>
      <c r="E478" s="4">
        <v>5432.84</v>
      </c>
      <c r="F478" s="4">
        <f t="shared" si="7"/>
        <v>10865.68</v>
      </c>
      <c r="G478" s="3" t="s">
        <v>46</v>
      </c>
      <c r="H478" s="5">
        <v>46124</v>
      </c>
      <c r="I478" s="3" t="str">
        <f>TEXT(Table1[[#This Row],[Date]],"mmm")</f>
        <v>Apr</v>
      </c>
    </row>
    <row r="479" spans="1:9" x14ac:dyDescent="0.3">
      <c r="A479" s="3" t="s">
        <v>513</v>
      </c>
      <c r="B479" s="3" t="s">
        <v>62</v>
      </c>
      <c r="C479" s="3" t="s">
        <v>25</v>
      </c>
      <c r="D479" s="3">
        <v>4</v>
      </c>
      <c r="E479" s="4">
        <v>1873.59</v>
      </c>
      <c r="F479" s="4">
        <f t="shared" si="7"/>
        <v>7494.36</v>
      </c>
      <c r="G479" s="3" t="s">
        <v>10</v>
      </c>
      <c r="H479" s="5">
        <v>46032</v>
      </c>
      <c r="I479" s="3" t="str">
        <f>TEXT(Table1[[#This Row],[Date]],"mmm")</f>
        <v>Jan</v>
      </c>
    </row>
    <row r="480" spans="1:9" x14ac:dyDescent="0.3">
      <c r="A480" s="3" t="s">
        <v>514</v>
      </c>
      <c r="B480" s="3" t="s">
        <v>91</v>
      </c>
      <c r="C480" s="3" t="s">
        <v>13</v>
      </c>
      <c r="D480" s="3">
        <v>3</v>
      </c>
      <c r="E480" s="4">
        <v>55747.58</v>
      </c>
      <c r="F480" s="4">
        <f t="shared" si="7"/>
        <v>167242.74</v>
      </c>
      <c r="G480" s="3" t="s">
        <v>18</v>
      </c>
      <c r="H480" s="5">
        <v>46108</v>
      </c>
      <c r="I480" s="3" t="str">
        <f>TEXT(Table1[[#This Row],[Date]],"mmm")</f>
        <v>Mar</v>
      </c>
    </row>
    <row r="481" spans="1:9" x14ac:dyDescent="0.3">
      <c r="A481" s="3" t="s">
        <v>515</v>
      </c>
      <c r="B481" s="3" t="s">
        <v>24</v>
      </c>
      <c r="C481" s="3" t="s">
        <v>25</v>
      </c>
      <c r="D481" s="3">
        <v>4</v>
      </c>
      <c r="E481" s="4">
        <v>877.16</v>
      </c>
      <c r="F481" s="4">
        <f t="shared" si="7"/>
        <v>3508.64</v>
      </c>
      <c r="G481" s="3" t="s">
        <v>14</v>
      </c>
      <c r="H481" s="5">
        <v>46157</v>
      </c>
      <c r="I481" s="3" t="str">
        <f>TEXT(Table1[[#This Row],[Date]],"mmm")</f>
        <v>May</v>
      </c>
    </row>
    <row r="482" spans="1:9" x14ac:dyDescent="0.3">
      <c r="A482" s="3" t="s">
        <v>516</v>
      </c>
      <c r="B482" s="3" t="s">
        <v>44</v>
      </c>
      <c r="C482" s="3" t="s">
        <v>39</v>
      </c>
      <c r="D482" s="3">
        <v>2</v>
      </c>
      <c r="E482" s="4">
        <v>3745.74</v>
      </c>
      <c r="F482" s="4">
        <f t="shared" si="7"/>
        <v>7491.48</v>
      </c>
      <c r="G482" s="3" t="s">
        <v>22</v>
      </c>
      <c r="H482" s="5">
        <v>46092</v>
      </c>
      <c r="I482" s="3" t="str">
        <f>TEXT(Table1[[#This Row],[Date]],"mmm")</f>
        <v>Mar</v>
      </c>
    </row>
    <row r="483" spans="1:9" x14ac:dyDescent="0.3">
      <c r="A483" s="3" t="s">
        <v>517</v>
      </c>
      <c r="B483" s="3" t="s">
        <v>12</v>
      </c>
      <c r="C483" s="3" t="s">
        <v>13</v>
      </c>
      <c r="D483" s="3">
        <v>1</v>
      </c>
      <c r="E483" s="4">
        <v>1449.21</v>
      </c>
      <c r="F483" s="4">
        <f t="shared" si="7"/>
        <v>1449.21</v>
      </c>
      <c r="G483" s="3" t="s">
        <v>22</v>
      </c>
      <c r="H483" s="5">
        <v>46188</v>
      </c>
      <c r="I483" s="3" t="str">
        <f>TEXT(Table1[[#This Row],[Date]],"mmm")</f>
        <v>Jun</v>
      </c>
    </row>
    <row r="484" spans="1:9" x14ac:dyDescent="0.3">
      <c r="A484" s="3" t="s">
        <v>518</v>
      </c>
      <c r="B484" s="3" t="s">
        <v>24</v>
      </c>
      <c r="C484" s="3" t="s">
        <v>25</v>
      </c>
      <c r="D484" s="3">
        <v>2</v>
      </c>
      <c r="E484" s="4">
        <v>721.35</v>
      </c>
      <c r="F484" s="4">
        <f t="shared" si="7"/>
        <v>1442.7</v>
      </c>
      <c r="G484" s="3" t="s">
        <v>32</v>
      </c>
      <c r="H484" s="5">
        <v>46098</v>
      </c>
      <c r="I484" s="3" t="str">
        <f>TEXT(Table1[[#This Row],[Date]],"mmm")</f>
        <v>Mar</v>
      </c>
    </row>
    <row r="485" spans="1:9" x14ac:dyDescent="0.3">
      <c r="A485" s="3" t="s">
        <v>519</v>
      </c>
      <c r="B485" s="3" t="s">
        <v>16</v>
      </c>
      <c r="C485" s="3" t="s">
        <v>17</v>
      </c>
      <c r="D485" s="3">
        <v>2</v>
      </c>
      <c r="E485" s="4">
        <v>420.79</v>
      </c>
      <c r="F485" s="4">
        <f t="shared" si="7"/>
        <v>841.58</v>
      </c>
      <c r="G485" s="3" t="s">
        <v>48</v>
      </c>
      <c r="H485" s="5">
        <v>46132</v>
      </c>
      <c r="I485" s="3" t="str">
        <f>TEXT(Table1[[#This Row],[Date]],"mmm")</f>
        <v>Apr</v>
      </c>
    </row>
    <row r="486" spans="1:9" x14ac:dyDescent="0.3">
      <c r="A486" s="3" t="s">
        <v>520</v>
      </c>
      <c r="B486" s="3" t="s">
        <v>80</v>
      </c>
      <c r="C486" s="3" t="s">
        <v>39</v>
      </c>
      <c r="D486" s="3">
        <v>3</v>
      </c>
      <c r="E486" s="4">
        <v>3852.86</v>
      </c>
      <c r="F486" s="4">
        <f t="shared" si="7"/>
        <v>11558.58</v>
      </c>
      <c r="G486" s="3" t="s">
        <v>18</v>
      </c>
      <c r="H486" s="5">
        <v>46070</v>
      </c>
      <c r="I486" s="3" t="str">
        <f>TEXT(Table1[[#This Row],[Date]],"mmm")</f>
        <v>Feb</v>
      </c>
    </row>
    <row r="487" spans="1:9" x14ac:dyDescent="0.3">
      <c r="A487" s="3" t="s">
        <v>521</v>
      </c>
      <c r="B487" s="3" t="s">
        <v>72</v>
      </c>
      <c r="C487" s="3" t="s">
        <v>13</v>
      </c>
      <c r="D487" s="3">
        <v>4</v>
      </c>
      <c r="E487" s="4">
        <v>2122.38</v>
      </c>
      <c r="F487" s="4">
        <f t="shared" si="7"/>
        <v>8489.52</v>
      </c>
      <c r="G487" s="3" t="s">
        <v>29</v>
      </c>
      <c r="H487" s="5">
        <v>46024</v>
      </c>
      <c r="I487" s="3" t="str">
        <f>TEXT(Table1[[#This Row],[Date]],"mmm")</f>
        <v>Jan</v>
      </c>
    </row>
    <row r="488" spans="1:9" x14ac:dyDescent="0.3">
      <c r="A488" s="3" t="s">
        <v>522</v>
      </c>
      <c r="B488" s="3" t="s">
        <v>24</v>
      </c>
      <c r="C488" s="3" t="s">
        <v>25</v>
      </c>
      <c r="D488" s="3">
        <v>4</v>
      </c>
      <c r="E488" s="4">
        <v>756.74</v>
      </c>
      <c r="F488" s="4">
        <f t="shared" si="7"/>
        <v>3026.96</v>
      </c>
      <c r="G488" s="3" t="s">
        <v>10</v>
      </c>
      <c r="H488" s="5">
        <v>46107</v>
      </c>
      <c r="I488" s="3" t="str">
        <f>TEXT(Table1[[#This Row],[Date]],"mmm")</f>
        <v>Mar</v>
      </c>
    </row>
    <row r="489" spans="1:9" x14ac:dyDescent="0.3">
      <c r="A489" s="3" t="s">
        <v>523</v>
      </c>
      <c r="B489" s="3" t="s">
        <v>24</v>
      </c>
      <c r="C489" s="3" t="s">
        <v>25</v>
      </c>
      <c r="D489" s="3">
        <v>5</v>
      </c>
      <c r="E489" s="4">
        <v>834.62</v>
      </c>
      <c r="F489" s="4">
        <f t="shared" si="7"/>
        <v>4173.1000000000004</v>
      </c>
      <c r="G489" s="3" t="s">
        <v>46</v>
      </c>
      <c r="H489" s="5">
        <v>46089</v>
      </c>
      <c r="I489" s="3" t="str">
        <f>TEXT(Table1[[#This Row],[Date]],"mmm")</f>
        <v>Mar</v>
      </c>
    </row>
    <row r="490" spans="1:9" x14ac:dyDescent="0.3">
      <c r="A490" s="3" t="s">
        <v>524</v>
      </c>
      <c r="B490" s="3" t="s">
        <v>8</v>
      </c>
      <c r="C490" s="3" t="s">
        <v>9</v>
      </c>
      <c r="D490" s="3">
        <v>3</v>
      </c>
      <c r="E490" s="4">
        <v>1869.4</v>
      </c>
      <c r="F490" s="4">
        <f t="shared" si="7"/>
        <v>5608.2000000000007</v>
      </c>
      <c r="G490" s="3" t="s">
        <v>46</v>
      </c>
      <c r="H490" s="5">
        <v>46193</v>
      </c>
      <c r="I490" s="3" t="str">
        <f>TEXT(Table1[[#This Row],[Date]],"mmm")</f>
        <v>Jun</v>
      </c>
    </row>
    <row r="491" spans="1:9" x14ac:dyDescent="0.3">
      <c r="A491" s="3" t="s">
        <v>525</v>
      </c>
      <c r="B491" s="3" t="s">
        <v>31</v>
      </c>
      <c r="C491" s="3" t="s">
        <v>13</v>
      </c>
      <c r="D491" s="3">
        <v>4</v>
      </c>
      <c r="E491" s="4">
        <v>17304.5</v>
      </c>
      <c r="F491" s="4">
        <f t="shared" si="7"/>
        <v>69218</v>
      </c>
      <c r="G491" s="3" t="s">
        <v>48</v>
      </c>
      <c r="H491" s="5">
        <v>46198</v>
      </c>
      <c r="I491" s="3" t="str">
        <f>TEXT(Table1[[#This Row],[Date]],"mmm")</f>
        <v>Jun</v>
      </c>
    </row>
    <row r="492" spans="1:9" x14ac:dyDescent="0.3">
      <c r="A492" s="3" t="s">
        <v>526</v>
      </c>
      <c r="B492" s="3" t="s">
        <v>80</v>
      </c>
      <c r="C492" s="3" t="s">
        <v>39</v>
      </c>
      <c r="D492" s="3">
        <v>3</v>
      </c>
      <c r="E492" s="4">
        <v>4359.84</v>
      </c>
      <c r="F492" s="4">
        <f t="shared" si="7"/>
        <v>13079.52</v>
      </c>
      <c r="G492" s="3" t="s">
        <v>10</v>
      </c>
      <c r="H492" s="5">
        <v>46117</v>
      </c>
      <c r="I492" s="3" t="str">
        <f>TEXT(Table1[[#This Row],[Date]],"mmm")</f>
        <v>Apr</v>
      </c>
    </row>
    <row r="493" spans="1:9" x14ac:dyDescent="0.3">
      <c r="A493" s="3" t="s">
        <v>527</v>
      </c>
      <c r="B493" s="3" t="s">
        <v>16</v>
      </c>
      <c r="C493" s="3" t="s">
        <v>17</v>
      </c>
      <c r="D493" s="3">
        <v>2</v>
      </c>
      <c r="E493" s="4">
        <v>424.72</v>
      </c>
      <c r="F493" s="4">
        <f t="shared" si="7"/>
        <v>849.44</v>
      </c>
      <c r="G493" s="3" t="s">
        <v>26</v>
      </c>
      <c r="H493" s="5">
        <v>46145</v>
      </c>
      <c r="I493" s="3" t="str">
        <f>TEXT(Table1[[#This Row],[Date]],"mmm")</f>
        <v>May</v>
      </c>
    </row>
    <row r="494" spans="1:9" x14ac:dyDescent="0.3">
      <c r="A494" s="3" t="s">
        <v>528</v>
      </c>
      <c r="B494" s="3" t="s">
        <v>72</v>
      </c>
      <c r="C494" s="3" t="s">
        <v>13</v>
      </c>
      <c r="D494" s="3">
        <v>4</v>
      </c>
      <c r="E494" s="4">
        <v>2309</v>
      </c>
      <c r="F494" s="4">
        <f t="shared" si="7"/>
        <v>9236</v>
      </c>
      <c r="G494" s="3" t="s">
        <v>50</v>
      </c>
      <c r="H494" s="5">
        <v>46118</v>
      </c>
      <c r="I494" s="3" t="str">
        <f>TEXT(Table1[[#This Row],[Date]],"mmm")</f>
        <v>Apr</v>
      </c>
    </row>
    <row r="495" spans="1:9" x14ac:dyDescent="0.3">
      <c r="A495" s="3" t="s">
        <v>529</v>
      </c>
      <c r="B495" s="3" t="s">
        <v>28</v>
      </c>
      <c r="C495" s="3" t="s">
        <v>9</v>
      </c>
      <c r="D495" s="3">
        <v>5</v>
      </c>
      <c r="E495" s="4">
        <v>5411.71</v>
      </c>
      <c r="F495" s="4">
        <f t="shared" si="7"/>
        <v>27058.55</v>
      </c>
      <c r="G495" s="3" t="s">
        <v>14</v>
      </c>
      <c r="H495" s="5">
        <v>46193</v>
      </c>
      <c r="I495" s="3" t="str">
        <f>TEXT(Table1[[#This Row],[Date]],"mmm")</f>
        <v>Jun</v>
      </c>
    </row>
    <row r="496" spans="1:9" x14ac:dyDescent="0.3">
      <c r="A496" s="3" t="s">
        <v>530</v>
      </c>
      <c r="B496" s="3" t="s">
        <v>38</v>
      </c>
      <c r="C496" s="3" t="s">
        <v>39</v>
      </c>
      <c r="D496" s="3">
        <v>2</v>
      </c>
      <c r="E496" s="4">
        <v>6840.42</v>
      </c>
      <c r="F496" s="4">
        <f t="shared" si="7"/>
        <v>13680.84</v>
      </c>
      <c r="G496" s="3" t="s">
        <v>50</v>
      </c>
      <c r="H496" s="5">
        <v>46043</v>
      </c>
      <c r="I496" s="3" t="str">
        <f>TEXT(Table1[[#This Row],[Date]],"mmm")</f>
        <v>Jan</v>
      </c>
    </row>
    <row r="497" spans="1:9" x14ac:dyDescent="0.3">
      <c r="A497" s="3" t="s">
        <v>531</v>
      </c>
      <c r="B497" s="3" t="s">
        <v>80</v>
      </c>
      <c r="C497" s="3" t="s">
        <v>39</v>
      </c>
      <c r="D497" s="3">
        <v>4</v>
      </c>
      <c r="E497" s="4">
        <v>4223.67</v>
      </c>
      <c r="F497" s="4">
        <f t="shared" si="7"/>
        <v>16894.68</v>
      </c>
      <c r="G497" s="3" t="s">
        <v>32</v>
      </c>
      <c r="H497" s="5">
        <v>46042</v>
      </c>
      <c r="I497" s="3" t="str">
        <f>TEXT(Table1[[#This Row],[Date]],"mmm")</f>
        <v>Jan</v>
      </c>
    </row>
    <row r="498" spans="1:9" x14ac:dyDescent="0.3">
      <c r="A498" s="3" t="s">
        <v>532</v>
      </c>
      <c r="B498" s="3" t="s">
        <v>16</v>
      </c>
      <c r="C498" s="3" t="s">
        <v>17</v>
      </c>
      <c r="D498" s="3">
        <v>1</v>
      </c>
      <c r="E498" s="4">
        <v>410.56</v>
      </c>
      <c r="F498" s="4">
        <f t="shared" si="7"/>
        <v>410.56</v>
      </c>
      <c r="G498" s="3" t="s">
        <v>14</v>
      </c>
      <c r="H498" s="5">
        <v>46152</v>
      </c>
      <c r="I498" s="3" t="str">
        <f>TEXT(Table1[[#This Row],[Date]],"mmm")</f>
        <v>May</v>
      </c>
    </row>
    <row r="499" spans="1:9" x14ac:dyDescent="0.3">
      <c r="A499" s="3" t="s">
        <v>533</v>
      </c>
      <c r="B499" s="3" t="s">
        <v>12</v>
      </c>
      <c r="C499" s="3" t="s">
        <v>13</v>
      </c>
      <c r="D499" s="3">
        <v>5</v>
      </c>
      <c r="E499" s="4">
        <v>1511</v>
      </c>
      <c r="F499" s="4">
        <f t="shared" si="7"/>
        <v>7555</v>
      </c>
      <c r="G499" s="3" t="s">
        <v>26</v>
      </c>
      <c r="H499" s="5">
        <v>46106</v>
      </c>
      <c r="I499" s="3" t="str">
        <f>TEXT(Table1[[#This Row],[Date]],"mmm")</f>
        <v>Mar</v>
      </c>
    </row>
    <row r="500" spans="1:9" x14ac:dyDescent="0.3">
      <c r="A500" s="3" t="s">
        <v>534</v>
      </c>
      <c r="B500" s="3" t="s">
        <v>38</v>
      </c>
      <c r="C500" s="3" t="s">
        <v>39</v>
      </c>
      <c r="D500" s="3">
        <v>5</v>
      </c>
      <c r="E500" s="4">
        <v>6424.39</v>
      </c>
      <c r="F500" s="4">
        <f t="shared" si="7"/>
        <v>32121.95</v>
      </c>
      <c r="G500" s="3" t="s">
        <v>29</v>
      </c>
      <c r="H500" s="5">
        <v>46172</v>
      </c>
      <c r="I500" s="3" t="str">
        <f>TEXT(Table1[[#This Row],[Date]],"mmm")</f>
        <v>May</v>
      </c>
    </row>
    <row r="501" spans="1:9" x14ac:dyDescent="0.3">
      <c r="A501" s="3" t="s">
        <v>535</v>
      </c>
      <c r="B501" s="3" t="s">
        <v>44</v>
      </c>
      <c r="C501" s="3" t="s">
        <v>39</v>
      </c>
      <c r="D501" s="3">
        <v>1</v>
      </c>
      <c r="E501" s="4">
        <v>3779.22</v>
      </c>
      <c r="F501" s="4">
        <f t="shared" si="7"/>
        <v>3779.22</v>
      </c>
      <c r="G501" s="3" t="s">
        <v>22</v>
      </c>
      <c r="H501" s="5">
        <v>46037</v>
      </c>
      <c r="I501" s="3" t="str">
        <f>TEXT(Table1[[#This Row],[Date]],"mmm")</f>
        <v>Jan</v>
      </c>
    </row>
    <row r="502" spans="1:9" x14ac:dyDescent="0.3">
      <c r="A502" s="3" t="s">
        <v>536</v>
      </c>
      <c r="B502" s="3" t="s">
        <v>44</v>
      </c>
      <c r="C502" s="3" t="s">
        <v>39</v>
      </c>
      <c r="D502" s="3">
        <v>2</v>
      </c>
      <c r="E502" s="4">
        <v>3509.27</v>
      </c>
      <c r="F502" s="4">
        <f t="shared" si="7"/>
        <v>7018.54</v>
      </c>
      <c r="G502" s="3" t="s">
        <v>22</v>
      </c>
      <c r="H502" s="5">
        <v>46167</v>
      </c>
      <c r="I502" s="3" t="str">
        <f>TEXT(Table1[[#This Row],[Date]],"mmm")</f>
        <v>May</v>
      </c>
    </row>
    <row r="503" spans="1:9" x14ac:dyDescent="0.3">
      <c r="A503" s="3" t="s">
        <v>537</v>
      </c>
      <c r="B503" s="3" t="s">
        <v>91</v>
      </c>
      <c r="C503" s="3" t="s">
        <v>13</v>
      </c>
      <c r="D503" s="3">
        <v>5</v>
      </c>
      <c r="E503" s="4">
        <v>54586.16</v>
      </c>
      <c r="F503" s="4">
        <f t="shared" si="7"/>
        <v>272930.80000000005</v>
      </c>
      <c r="G503" s="3" t="s">
        <v>10</v>
      </c>
      <c r="H503" s="5">
        <v>46028</v>
      </c>
      <c r="I503" s="3" t="str">
        <f>TEXT(Table1[[#This Row],[Date]],"mmm")</f>
        <v>Jan</v>
      </c>
    </row>
    <row r="504" spans="1:9" x14ac:dyDescent="0.3">
      <c r="A504" s="3" t="s">
        <v>538</v>
      </c>
      <c r="B504" s="3" t="s">
        <v>28</v>
      </c>
      <c r="C504" s="3" t="s">
        <v>9</v>
      </c>
      <c r="D504" s="3">
        <v>3</v>
      </c>
      <c r="E504" s="4">
        <v>5315.39</v>
      </c>
      <c r="F504" s="4">
        <f t="shared" si="7"/>
        <v>15946.170000000002</v>
      </c>
      <c r="G504" s="3" t="s">
        <v>29</v>
      </c>
      <c r="H504" s="5">
        <v>46171</v>
      </c>
      <c r="I504" s="3" t="str">
        <f>TEXT(Table1[[#This Row],[Date]],"mmm")</f>
        <v>May</v>
      </c>
    </row>
    <row r="505" spans="1:9" x14ac:dyDescent="0.3">
      <c r="A505" s="3" t="s">
        <v>539</v>
      </c>
      <c r="B505" s="3" t="s">
        <v>31</v>
      </c>
      <c r="C505" s="3" t="s">
        <v>13</v>
      </c>
      <c r="D505" s="3">
        <v>1</v>
      </c>
      <c r="E505" s="4">
        <v>17725.310000000001</v>
      </c>
      <c r="F505" s="4">
        <f t="shared" si="7"/>
        <v>17725.310000000001</v>
      </c>
      <c r="G505" s="3" t="s">
        <v>18</v>
      </c>
      <c r="H505" s="5">
        <v>46161</v>
      </c>
      <c r="I505" s="3" t="str">
        <f>TEXT(Table1[[#This Row],[Date]],"mmm")</f>
        <v>May</v>
      </c>
    </row>
    <row r="506" spans="1:9" x14ac:dyDescent="0.3">
      <c r="A506" s="3" t="s">
        <v>540</v>
      </c>
      <c r="B506" s="3" t="s">
        <v>91</v>
      </c>
      <c r="C506" s="3" t="s">
        <v>13</v>
      </c>
      <c r="D506" s="3">
        <v>1</v>
      </c>
      <c r="E506" s="4">
        <v>60347.51</v>
      </c>
      <c r="F506" s="4">
        <f t="shared" si="7"/>
        <v>60347.51</v>
      </c>
      <c r="G506" s="3" t="s">
        <v>22</v>
      </c>
      <c r="H506" s="5">
        <v>46031</v>
      </c>
      <c r="I506" s="3" t="str">
        <f>TEXT(Table1[[#This Row],[Date]],"mmm")</f>
        <v>Jan</v>
      </c>
    </row>
    <row r="507" spans="1:9" x14ac:dyDescent="0.3">
      <c r="A507" s="3" t="s">
        <v>541</v>
      </c>
      <c r="B507" s="3" t="s">
        <v>24</v>
      </c>
      <c r="C507" s="3" t="s">
        <v>25</v>
      </c>
      <c r="D507" s="3">
        <v>4</v>
      </c>
      <c r="E507" s="4">
        <v>747.86</v>
      </c>
      <c r="F507" s="4">
        <f t="shared" si="7"/>
        <v>2991.44</v>
      </c>
      <c r="G507" s="3" t="s">
        <v>26</v>
      </c>
      <c r="H507" s="5">
        <v>46187</v>
      </c>
      <c r="I507" s="3" t="str">
        <f>TEXT(Table1[[#This Row],[Date]],"mmm")</f>
        <v>Jun</v>
      </c>
    </row>
    <row r="508" spans="1:9" x14ac:dyDescent="0.3">
      <c r="A508" s="3" t="s">
        <v>542</v>
      </c>
      <c r="B508" s="3" t="s">
        <v>21</v>
      </c>
      <c r="C508" s="3" t="s">
        <v>13</v>
      </c>
      <c r="D508" s="3">
        <v>4</v>
      </c>
      <c r="E508" s="4">
        <v>27296.98</v>
      </c>
      <c r="F508" s="4">
        <f t="shared" si="7"/>
        <v>109187.92</v>
      </c>
      <c r="G508" s="3" t="s">
        <v>48</v>
      </c>
      <c r="H508" s="5">
        <v>46137</v>
      </c>
      <c r="I508" s="3" t="str">
        <f>TEXT(Table1[[#This Row],[Date]],"mmm")</f>
        <v>Apr</v>
      </c>
    </row>
    <row r="509" spans="1:9" x14ac:dyDescent="0.3">
      <c r="A509" s="3" t="s">
        <v>543</v>
      </c>
      <c r="B509" s="3" t="s">
        <v>38</v>
      </c>
      <c r="C509" s="3" t="s">
        <v>39</v>
      </c>
      <c r="D509" s="3">
        <v>4</v>
      </c>
      <c r="E509" s="4">
        <v>6338.34</v>
      </c>
      <c r="F509" s="4">
        <f t="shared" si="7"/>
        <v>25353.360000000001</v>
      </c>
      <c r="G509" s="3" t="s">
        <v>14</v>
      </c>
      <c r="H509" s="5">
        <v>46057</v>
      </c>
      <c r="I509" s="3" t="str">
        <f>TEXT(Table1[[#This Row],[Date]],"mmm")</f>
        <v>Feb</v>
      </c>
    </row>
    <row r="510" spans="1:9" x14ac:dyDescent="0.3">
      <c r="A510" s="3" t="s">
        <v>544</v>
      </c>
      <c r="B510" s="3" t="s">
        <v>8</v>
      </c>
      <c r="C510" s="3" t="s">
        <v>9</v>
      </c>
      <c r="D510" s="3">
        <v>3</v>
      </c>
      <c r="E510" s="4">
        <v>1662.71</v>
      </c>
      <c r="F510" s="4">
        <f t="shared" si="7"/>
        <v>4988.13</v>
      </c>
      <c r="G510" s="3" t="s">
        <v>14</v>
      </c>
      <c r="H510" s="5">
        <v>46123</v>
      </c>
      <c r="I510" s="3" t="str">
        <f>TEXT(Table1[[#This Row],[Date]],"mmm")</f>
        <v>Apr</v>
      </c>
    </row>
    <row r="511" spans="1:9" x14ac:dyDescent="0.3">
      <c r="A511" s="3" t="s">
        <v>545</v>
      </c>
      <c r="B511" s="3" t="s">
        <v>80</v>
      </c>
      <c r="C511" s="3" t="s">
        <v>39</v>
      </c>
      <c r="D511" s="3">
        <v>2</v>
      </c>
      <c r="E511" s="4">
        <v>4391.3999999999996</v>
      </c>
      <c r="F511" s="4">
        <f t="shared" si="7"/>
        <v>8782.7999999999993</v>
      </c>
      <c r="G511" s="3" t="s">
        <v>29</v>
      </c>
      <c r="H511" s="5">
        <v>46023</v>
      </c>
      <c r="I511" s="3" t="str">
        <f>TEXT(Table1[[#This Row],[Date]],"mmm")</f>
        <v>Jan</v>
      </c>
    </row>
    <row r="512" spans="1:9" x14ac:dyDescent="0.3">
      <c r="A512" s="3" t="s">
        <v>546</v>
      </c>
      <c r="B512" s="3" t="s">
        <v>62</v>
      </c>
      <c r="C512" s="3" t="s">
        <v>25</v>
      </c>
      <c r="D512" s="3">
        <v>1</v>
      </c>
      <c r="E512" s="4">
        <v>2190.3000000000002</v>
      </c>
      <c r="F512" s="4">
        <f t="shared" si="7"/>
        <v>2190.3000000000002</v>
      </c>
      <c r="G512" s="3" t="s">
        <v>22</v>
      </c>
      <c r="H512" s="5">
        <v>46195</v>
      </c>
      <c r="I512" s="3" t="str">
        <f>TEXT(Table1[[#This Row],[Date]],"mmm")</f>
        <v>Jun</v>
      </c>
    </row>
    <row r="513" spans="1:9" x14ac:dyDescent="0.3">
      <c r="A513" s="3" t="s">
        <v>547</v>
      </c>
      <c r="B513" s="3" t="s">
        <v>21</v>
      </c>
      <c r="C513" s="3" t="s">
        <v>13</v>
      </c>
      <c r="D513" s="3">
        <v>5</v>
      </c>
      <c r="E513" s="4">
        <v>27575.119999999999</v>
      </c>
      <c r="F513" s="4">
        <f t="shared" si="7"/>
        <v>137875.6</v>
      </c>
      <c r="G513" s="3" t="s">
        <v>48</v>
      </c>
      <c r="H513" s="5">
        <v>46081</v>
      </c>
      <c r="I513" s="3" t="str">
        <f>TEXT(Table1[[#This Row],[Date]],"mmm")</f>
        <v>Feb</v>
      </c>
    </row>
    <row r="514" spans="1:9" x14ac:dyDescent="0.3">
      <c r="A514" s="3" t="s">
        <v>548</v>
      </c>
      <c r="B514" s="3" t="s">
        <v>12</v>
      </c>
      <c r="C514" s="3" t="s">
        <v>13</v>
      </c>
      <c r="D514" s="3">
        <v>4</v>
      </c>
      <c r="E514" s="4">
        <v>1453.85</v>
      </c>
      <c r="F514" s="4">
        <f t="shared" si="7"/>
        <v>5815.4</v>
      </c>
      <c r="G514" s="3" t="s">
        <v>10</v>
      </c>
      <c r="H514" s="5">
        <v>46071</v>
      </c>
      <c r="I514" s="3" t="str">
        <f>TEXT(Table1[[#This Row],[Date]],"mmm")</f>
        <v>Feb</v>
      </c>
    </row>
    <row r="515" spans="1:9" x14ac:dyDescent="0.3">
      <c r="A515" s="3" t="s">
        <v>549</v>
      </c>
      <c r="B515" s="3" t="s">
        <v>21</v>
      </c>
      <c r="C515" s="3" t="s">
        <v>13</v>
      </c>
      <c r="D515" s="3">
        <v>1</v>
      </c>
      <c r="E515" s="4">
        <v>25380.42</v>
      </c>
      <c r="F515" s="4">
        <f t="shared" ref="F515:F578" si="8">D515*E515</f>
        <v>25380.42</v>
      </c>
      <c r="G515" s="3" t="s">
        <v>48</v>
      </c>
      <c r="H515" s="5">
        <v>46180</v>
      </c>
      <c r="I515" s="3" t="str">
        <f>TEXT(Table1[[#This Row],[Date]],"mmm")</f>
        <v>Jun</v>
      </c>
    </row>
    <row r="516" spans="1:9" x14ac:dyDescent="0.3">
      <c r="A516" s="3" t="s">
        <v>550</v>
      </c>
      <c r="B516" s="3" t="s">
        <v>62</v>
      </c>
      <c r="C516" s="3" t="s">
        <v>25</v>
      </c>
      <c r="D516" s="3">
        <v>1</v>
      </c>
      <c r="E516" s="4">
        <v>1895.32</v>
      </c>
      <c r="F516" s="4">
        <f t="shared" si="8"/>
        <v>1895.32</v>
      </c>
      <c r="G516" s="3" t="s">
        <v>18</v>
      </c>
      <c r="H516" s="5">
        <v>46048</v>
      </c>
      <c r="I516" s="3" t="str">
        <f>TEXT(Table1[[#This Row],[Date]],"mmm")</f>
        <v>Jan</v>
      </c>
    </row>
    <row r="517" spans="1:9" x14ac:dyDescent="0.3">
      <c r="A517" s="3" t="s">
        <v>551</v>
      </c>
      <c r="B517" s="3" t="s">
        <v>16</v>
      </c>
      <c r="C517" s="3" t="s">
        <v>17</v>
      </c>
      <c r="D517" s="3">
        <v>1</v>
      </c>
      <c r="E517" s="4">
        <v>445.18</v>
      </c>
      <c r="F517" s="4">
        <f t="shared" si="8"/>
        <v>445.18</v>
      </c>
      <c r="G517" s="3" t="s">
        <v>46</v>
      </c>
      <c r="H517" s="5">
        <v>46085</v>
      </c>
      <c r="I517" s="3" t="str">
        <f>TEXT(Table1[[#This Row],[Date]],"mmm")</f>
        <v>Mar</v>
      </c>
    </row>
    <row r="518" spans="1:9" x14ac:dyDescent="0.3">
      <c r="A518" s="3" t="s">
        <v>552</v>
      </c>
      <c r="B518" s="3" t="s">
        <v>21</v>
      </c>
      <c r="C518" s="3" t="s">
        <v>13</v>
      </c>
      <c r="D518" s="3">
        <v>1</v>
      </c>
      <c r="E518" s="4">
        <v>27452.69</v>
      </c>
      <c r="F518" s="4">
        <f t="shared" si="8"/>
        <v>27452.69</v>
      </c>
      <c r="G518" s="3" t="s">
        <v>29</v>
      </c>
      <c r="H518" s="5">
        <v>46161</v>
      </c>
      <c r="I518" s="3" t="str">
        <f>TEXT(Table1[[#This Row],[Date]],"mmm")</f>
        <v>May</v>
      </c>
    </row>
    <row r="519" spans="1:9" x14ac:dyDescent="0.3">
      <c r="A519" s="3" t="s">
        <v>553</v>
      </c>
      <c r="B519" s="3" t="s">
        <v>12</v>
      </c>
      <c r="C519" s="3" t="s">
        <v>13</v>
      </c>
      <c r="D519" s="3">
        <v>1</v>
      </c>
      <c r="E519" s="4">
        <v>1392.04</v>
      </c>
      <c r="F519" s="4">
        <f t="shared" si="8"/>
        <v>1392.04</v>
      </c>
      <c r="G519" s="3" t="s">
        <v>10</v>
      </c>
      <c r="H519" s="5">
        <v>46082</v>
      </c>
      <c r="I519" s="3" t="str">
        <f>TEXT(Table1[[#This Row],[Date]],"mmm")</f>
        <v>Mar</v>
      </c>
    </row>
    <row r="520" spans="1:9" x14ac:dyDescent="0.3">
      <c r="A520" s="3" t="s">
        <v>554</v>
      </c>
      <c r="B520" s="3" t="s">
        <v>38</v>
      </c>
      <c r="C520" s="3" t="s">
        <v>39</v>
      </c>
      <c r="D520" s="3">
        <v>5</v>
      </c>
      <c r="E520" s="4">
        <v>6264.57</v>
      </c>
      <c r="F520" s="4">
        <f t="shared" si="8"/>
        <v>31322.85</v>
      </c>
      <c r="G520" s="3" t="s">
        <v>50</v>
      </c>
      <c r="H520" s="5">
        <v>46195</v>
      </c>
      <c r="I520" s="3" t="str">
        <f>TEXT(Table1[[#This Row],[Date]],"mmm")</f>
        <v>Jun</v>
      </c>
    </row>
    <row r="521" spans="1:9" x14ac:dyDescent="0.3">
      <c r="A521" s="3" t="s">
        <v>555</v>
      </c>
      <c r="B521" s="3" t="s">
        <v>38</v>
      </c>
      <c r="C521" s="3" t="s">
        <v>39</v>
      </c>
      <c r="D521" s="3">
        <v>3</v>
      </c>
      <c r="E521" s="4">
        <v>6157.98</v>
      </c>
      <c r="F521" s="4">
        <f t="shared" si="8"/>
        <v>18473.939999999999</v>
      </c>
      <c r="G521" s="3" t="s">
        <v>26</v>
      </c>
      <c r="H521" s="5">
        <v>46192</v>
      </c>
      <c r="I521" s="3" t="str">
        <f>TEXT(Table1[[#This Row],[Date]],"mmm")</f>
        <v>Jun</v>
      </c>
    </row>
    <row r="522" spans="1:9" x14ac:dyDescent="0.3">
      <c r="A522" s="3" t="s">
        <v>556</v>
      </c>
      <c r="B522" s="3" t="s">
        <v>80</v>
      </c>
      <c r="C522" s="3" t="s">
        <v>39</v>
      </c>
      <c r="D522" s="3">
        <v>2</v>
      </c>
      <c r="E522" s="4">
        <v>4127.3900000000003</v>
      </c>
      <c r="F522" s="4">
        <f t="shared" si="8"/>
        <v>8254.7800000000007</v>
      </c>
      <c r="G522" s="3" t="s">
        <v>10</v>
      </c>
      <c r="H522" s="5">
        <v>46038</v>
      </c>
      <c r="I522" s="3" t="str">
        <f>TEXT(Table1[[#This Row],[Date]],"mmm")</f>
        <v>Jan</v>
      </c>
    </row>
    <row r="523" spans="1:9" x14ac:dyDescent="0.3">
      <c r="A523" s="3" t="s">
        <v>557</v>
      </c>
      <c r="B523" s="3" t="s">
        <v>80</v>
      </c>
      <c r="C523" s="3" t="s">
        <v>39</v>
      </c>
      <c r="D523" s="3">
        <v>5</v>
      </c>
      <c r="E523" s="4">
        <v>4518.96</v>
      </c>
      <c r="F523" s="4">
        <f t="shared" si="8"/>
        <v>22594.799999999999</v>
      </c>
      <c r="G523" s="3" t="s">
        <v>26</v>
      </c>
      <c r="H523" s="5">
        <v>46183</v>
      </c>
      <c r="I523" s="3" t="str">
        <f>TEXT(Table1[[#This Row],[Date]],"mmm")</f>
        <v>Jun</v>
      </c>
    </row>
    <row r="524" spans="1:9" x14ac:dyDescent="0.3">
      <c r="A524" s="3" t="s">
        <v>558</v>
      </c>
      <c r="B524" s="3" t="s">
        <v>8</v>
      </c>
      <c r="C524" s="3" t="s">
        <v>9</v>
      </c>
      <c r="D524" s="3">
        <v>4</v>
      </c>
      <c r="E524" s="4">
        <v>1820.11</v>
      </c>
      <c r="F524" s="4">
        <f t="shared" si="8"/>
        <v>7280.44</v>
      </c>
      <c r="G524" s="3" t="s">
        <v>46</v>
      </c>
      <c r="H524" s="5">
        <v>46111</v>
      </c>
      <c r="I524" s="3" t="str">
        <f>TEXT(Table1[[#This Row],[Date]],"mmm")</f>
        <v>Mar</v>
      </c>
    </row>
    <row r="525" spans="1:9" x14ac:dyDescent="0.3">
      <c r="A525" s="3" t="s">
        <v>559</v>
      </c>
      <c r="B525" s="3" t="s">
        <v>8</v>
      </c>
      <c r="C525" s="3" t="s">
        <v>9</v>
      </c>
      <c r="D525" s="3">
        <v>4</v>
      </c>
      <c r="E525" s="4">
        <v>1902.89</v>
      </c>
      <c r="F525" s="4">
        <f t="shared" si="8"/>
        <v>7611.56</v>
      </c>
      <c r="G525" s="3" t="s">
        <v>32</v>
      </c>
      <c r="H525" s="5">
        <v>46201</v>
      </c>
      <c r="I525" s="3" t="str">
        <f>TEXT(Table1[[#This Row],[Date]],"mmm")</f>
        <v>Jun</v>
      </c>
    </row>
    <row r="526" spans="1:9" x14ac:dyDescent="0.3">
      <c r="A526" s="3" t="s">
        <v>560</v>
      </c>
      <c r="B526" s="3" t="s">
        <v>28</v>
      </c>
      <c r="C526" s="3" t="s">
        <v>9</v>
      </c>
      <c r="D526" s="3">
        <v>4</v>
      </c>
      <c r="E526" s="4">
        <v>4648.29</v>
      </c>
      <c r="F526" s="4">
        <f t="shared" si="8"/>
        <v>18593.16</v>
      </c>
      <c r="G526" s="3" t="s">
        <v>48</v>
      </c>
      <c r="H526" s="5">
        <v>46070</v>
      </c>
      <c r="I526" s="3" t="str">
        <f>TEXT(Table1[[#This Row],[Date]],"mmm")</f>
        <v>Feb</v>
      </c>
    </row>
    <row r="527" spans="1:9" x14ac:dyDescent="0.3">
      <c r="A527" s="3" t="s">
        <v>561</v>
      </c>
      <c r="B527" s="3" t="s">
        <v>62</v>
      </c>
      <c r="C527" s="3" t="s">
        <v>25</v>
      </c>
      <c r="D527" s="3">
        <v>5</v>
      </c>
      <c r="E527" s="4">
        <v>1988.41</v>
      </c>
      <c r="F527" s="4">
        <f t="shared" si="8"/>
        <v>9942.0500000000011</v>
      </c>
      <c r="G527" s="3" t="s">
        <v>29</v>
      </c>
      <c r="H527" s="5">
        <v>46099</v>
      </c>
      <c r="I527" s="3" t="str">
        <f>TEXT(Table1[[#This Row],[Date]],"mmm")</f>
        <v>Mar</v>
      </c>
    </row>
    <row r="528" spans="1:9" x14ac:dyDescent="0.3">
      <c r="A528" s="3" t="s">
        <v>562</v>
      </c>
      <c r="B528" s="3" t="s">
        <v>38</v>
      </c>
      <c r="C528" s="3" t="s">
        <v>39</v>
      </c>
      <c r="D528" s="3">
        <v>2</v>
      </c>
      <c r="E528" s="4">
        <v>6897.51</v>
      </c>
      <c r="F528" s="4">
        <f t="shared" si="8"/>
        <v>13795.02</v>
      </c>
      <c r="G528" s="3" t="s">
        <v>46</v>
      </c>
      <c r="H528" s="5">
        <v>46166</v>
      </c>
      <c r="I528" s="3" t="str">
        <f>TEXT(Table1[[#This Row],[Date]],"mmm")</f>
        <v>May</v>
      </c>
    </row>
    <row r="529" spans="1:9" x14ac:dyDescent="0.3">
      <c r="A529" s="3" t="s">
        <v>563</v>
      </c>
      <c r="B529" s="3" t="s">
        <v>28</v>
      </c>
      <c r="C529" s="3" t="s">
        <v>9</v>
      </c>
      <c r="D529" s="3">
        <v>4</v>
      </c>
      <c r="E529" s="4">
        <v>5056.28</v>
      </c>
      <c r="F529" s="4">
        <f t="shared" si="8"/>
        <v>20225.12</v>
      </c>
      <c r="G529" s="3" t="s">
        <v>26</v>
      </c>
      <c r="H529" s="5">
        <v>46122</v>
      </c>
      <c r="I529" s="3" t="str">
        <f>TEXT(Table1[[#This Row],[Date]],"mmm")</f>
        <v>Apr</v>
      </c>
    </row>
    <row r="530" spans="1:9" x14ac:dyDescent="0.3">
      <c r="A530" s="3" t="s">
        <v>564</v>
      </c>
      <c r="B530" s="3" t="s">
        <v>12</v>
      </c>
      <c r="C530" s="3" t="s">
        <v>13</v>
      </c>
      <c r="D530" s="3">
        <v>3</v>
      </c>
      <c r="E530" s="4">
        <v>1411</v>
      </c>
      <c r="F530" s="4">
        <f t="shared" si="8"/>
        <v>4233</v>
      </c>
      <c r="G530" s="3" t="s">
        <v>18</v>
      </c>
      <c r="H530" s="5">
        <v>46138</v>
      </c>
      <c r="I530" s="3" t="str">
        <f>TEXT(Table1[[#This Row],[Date]],"mmm")</f>
        <v>Apr</v>
      </c>
    </row>
    <row r="531" spans="1:9" x14ac:dyDescent="0.3">
      <c r="A531" s="3" t="s">
        <v>565</v>
      </c>
      <c r="B531" s="3" t="s">
        <v>38</v>
      </c>
      <c r="C531" s="3" t="s">
        <v>39</v>
      </c>
      <c r="D531" s="3">
        <v>3</v>
      </c>
      <c r="E531" s="4">
        <v>5970.2</v>
      </c>
      <c r="F531" s="4">
        <f t="shared" si="8"/>
        <v>17910.599999999999</v>
      </c>
      <c r="G531" s="3" t="s">
        <v>29</v>
      </c>
      <c r="H531" s="5">
        <v>46036</v>
      </c>
      <c r="I531" s="3" t="str">
        <f>TEXT(Table1[[#This Row],[Date]],"mmm")</f>
        <v>Jan</v>
      </c>
    </row>
    <row r="532" spans="1:9" x14ac:dyDescent="0.3">
      <c r="A532" s="3" t="s">
        <v>566</v>
      </c>
      <c r="B532" s="3" t="s">
        <v>24</v>
      </c>
      <c r="C532" s="3" t="s">
        <v>25</v>
      </c>
      <c r="D532" s="3">
        <v>4</v>
      </c>
      <c r="E532" s="4">
        <v>826.75</v>
      </c>
      <c r="F532" s="4">
        <f t="shared" si="8"/>
        <v>3307</v>
      </c>
      <c r="G532" s="3" t="s">
        <v>50</v>
      </c>
      <c r="H532" s="5">
        <v>46033</v>
      </c>
      <c r="I532" s="3" t="str">
        <f>TEXT(Table1[[#This Row],[Date]],"mmm")</f>
        <v>Jan</v>
      </c>
    </row>
    <row r="533" spans="1:9" x14ac:dyDescent="0.3">
      <c r="A533" s="3" t="s">
        <v>567</v>
      </c>
      <c r="B533" s="3" t="s">
        <v>38</v>
      </c>
      <c r="C533" s="3" t="s">
        <v>39</v>
      </c>
      <c r="D533" s="3">
        <v>1</v>
      </c>
      <c r="E533" s="4">
        <v>6094.61</v>
      </c>
      <c r="F533" s="4">
        <f t="shared" si="8"/>
        <v>6094.61</v>
      </c>
      <c r="G533" s="3" t="s">
        <v>50</v>
      </c>
      <c r="H533" s="5">
        <v>46194</v>
      </c>
      <c r="I533" s="3" t="str">
        <f>TEXT(Table1[[#This Row],[Date]],"mmm")</f>
        <v>Jun</v>
      </c>
    </row>
    <row r="534" spans="1:9" x14ac:dyDescent="0.3">
      <c r="A534" s="3" t="s">
        <v>568</v>
      </c>
      <c r="B534" s="3" t="s">
        <v>80</v>
      </c>
      <c r="C534" s="3" t="s">
        <v>39</v>
      </c>
      <c r="D534" s="3">
        <v>2</v>
      </c>
      <c r="E534" s="4">
        <v>4182.6899999999996</v>
      </c>
      <c r="F534" s="4">
        <f t="shared" si="8"/>
        <v>8365.3799999999992</v>
      </c>
      <c r="G534" s="3" t="s">
        <v>32</v>
      </c>
      <c r="H534" s="5">
        <v>46100</v>
      </c>
      <c r="I534" s="3" t="str">
        <f>TEXT(Table1[[#This Row],[Date]],"mmm")</f>
        <v>Mar</v>
      </c>
    </row>
    <row r="535" spans="1:9" x14ac:dyDescent="0.3">
      <c r="A535" s="3" t="s">
        <v>569</v>
      </c>
      <c r="B535" s="3" t="s">
        <v>91</v>
      </c>
      <c r="C535" s="3" t="s">
        <v>13</v>
      </c>
      <c r="D535" s="3">
        <v>2</v>
      </c>
      <c r="E535" s="4">
        <v>59808.76</v>
      </c>
      <c r="F535" s="4">
        <f t="shared" si="8"/>
        <v>119617.52</v>
      </c>
      <c r="G535" s="3" t="s">
        <v>18</v>
      </c>
      <c r="H535" s="5">
        <v>46145</v>
      </c>
      <c r="I535" s="3" t="str">
        <f>TEXT(Table1[[#This Row],[Date]],"mmm")</f>
        <v>May</v>
      </c>
    </row>
    <row r="536" spans="1:9" x14ac:dyDescent="0.3">
      <c r="A536" s="3" t="s">
        <v>570</v>
      </c>
      <c r="B536" s="3" t="s">
        <v>12</v>
      </c>
      <c r="C536" s="3" t="s">
        <v>13</v>
      </c>
      <c r="D536" s="3">
        <v>5</v>
      </c>
      <c r="E536" s="4">
        <v>1561.13</v>
      </c>
      <c r="F536" s="4">
        <f t="shared" si="8"/>
        <v>7805.6500000000005</v>
      </c>
      <c r="G536" s="3" t="s">
        <v>48</v>
      </c>
      <c r="H536" s="5">
        <v>46084</v>
      </c>
      <c r="I536" s="3" t="str">
        <f>TEXT(Table1[[#This Row],[Date]],"mmm")</f>
        <v>Mar</v>
      </c>
    </row>
    <row r="537" spans="1:9" x14ac:dyDescent="0.3">
      <c r="A537" s="3" t="s">
        <v>571</v>
      </c>
      <c r="B537" s="3" t="s">
        <v>80</v>
      </c>
      <c r="C537" s="3" t="s">
        <v>39</v>
      </c>
      <c r="D537" s="3">
        <v>3</v>
      </c>
      <c r="E537" s="4">
        <v>4431.43</v>
      </c>
      <c r="F537" s="4">
        <f t="shared" si="8"/>
        <v>13294.29</v>
      </c>
      <c r="G537" s="3" t="s">
        <v>48</v>
      </c>
      <c r="H537" s="5">
        <v>46142</v>
      </c>
      <c r="I537" s="3" t="str">
        <f>TEXT(Table1[[#This Row],[Date]],"mmm")</f>
        <v>Apr</v>
      </c>
    </row>
    <row r="538" spans="1:9" x14ac:dyDescent="0.3">
      <c r="A538" s="3" t="s">
        <v>572</v>
      </c>
      <c r="B538" s="3" t="s">
        <v>80</v>
      </c>
      <c r="C538" s="3" t="s">
        <v>39</v>
      </c>
      <c r="D538" s="3">
        <v>3</v>
      </c>
      <c r="E538" s="4">
        <v>4039.07</v>
      </c>
      <c r="F538" s="4">
        <f t="shared" si="8"/>
        <v>12117.210000000001</v>
      </c>
      <c r="G538" s="3" t="s">
        <v>32</v>
      </c>
      <c r="H538" s="5">
        <v>46154</v>
      </c>
      <c r="I538" s="3" t="str">
        <f>TEXT(Table1[[#This Row],[Date]],"mmm")</f>
        <v>May</v>
      </c>
    </row>
    <row r="539" spans="1:9" x14ac:dyDescent="0.3">
      <c r="A539" s="3" t="s">
        <v>573</v>
      </c>
      <c r="B539" s="3" t="s">
        <v>44</v>
      </c>
      <c r="C539" s="3" t="s">
        <v>39</v>
      </c>
      <c r="D539" s="3">
        <v>4</v>
      </c>
      <c r="E539" s="4">
        <v>3219.03</v>
      </c>
      <c r="F539" s="4">
        <f t="shared" si="8"/>
        <v>12876.12</v>
      </c>
      <c r="G539" s="3" t="s">
        <v>22</v>
      </c>
      <c r="H539" s="5">
        <v>46104</v>
      </c>
      <c r="I539" s="3" t="str">
        <f>TEXT(Table1[[#This Row],[Date]],"mmm")</f>
        <v>Mar</v>
      </c>
    </row>
    <row r="540" spans="1:9" x14ac:dyDescent="0.3">
      <c r="A540" s="3" t="s">
        <v>574</v>
      </c>
      <c r="B540" s="3" t="s">
        <v>12</v>
      </c>
      <c r="C540" s="3" t="s">
        <v>13</v>
      </c>
      <c r="D540" s="3">
        <v>3</v>
      </c>
      <c r="E540" s="4">
        <v>1443.88</v>
      </c>
      <c r="F540" s="4">
        <f t="shared" si="8"/>
        <v>4331.6400000000003</v>
      </c>
      <c r="G540" s="3" t="s">
        <v>46</v>
      </c>
      <c r="H540" s="5">
        <v>46167</v>
      </c>
      <c r="I540" s="3" t="str">
        <f>TEXT(Table1[[#This Row],[Date]],"mmm")</f>
        <v>May</v>
      </c>
    </row>
    <row r="541" spans="1:9" x14ac:dyDescent="0.3">
      <c r="A541" s="3" t="s">
        <v>575</v>
      </c>
      <c r="B541" s="3" t="s">
        <v>38</v>
      </c>
      <c r="C541" s="3" t="s">
        <v>39</v>
      </c>
      <c r="D541" s="3">
        <v>2</v>
      </c>
      <c r="E541" s="4">
        <v>6813.63</v>
      </c>
      <c r="F541" s="4">
        <f t="shared" si="8"/>
        <v>13627.26</v>
      </c>
      <c r="G541" s="3" t="s">
        <v>46</v>
      </c>
      <c r="H541" s="5">
        <v>46089</v>
      </c>
      <c r="I541" s="3" t="str">
        <f>TEXT(Table1[[#This Row],[Date]],"mmm")</f>
        <v>Mar</v>
      </c>
    </row>
    <row r="542" spans="1:9" x14ac:dyDescent="0.3">
      <c r="A542" s="3" t="s">
        <v>576</v>
      </c>
      <c r="B542" s="3" t="s">
        <v>80</v>
      </c>
      <c r="C542" s="3" t="s">
        <v>39</v>
      </c>
      <c r="D542" s="3">
        <v>5</v>
      </c>
      <c r="E542" s="4">
        <v>4266.4799999999996</v>
      </c>
      <c r="F542" s="4">
        <f t="shared" si="8"/>
        <v>21332.399999999998</v>
      </c>
      <c r="G542" s="3" t="s">
        <v>48</v>
      </c>
      <c r="H542" s="5">
        <v>46098</v>
      </c>
      <c r="I542" s="3" t="str">
        <f>TEXT(Table1[[#This Row],[Date]],"mmm")</f>
        <v>Mar</v>
      </c>
    </row>
    <row r="543" spans="1:9" x14ac:dyDescent="0.3">
      <c r="A543" s="3" t="s">
        <v>577</v>
      </c>
      <c r="B543" s="3" t="s">
        <v>72</v>
      </c>
      <c r="C543" s="3" t="s">
        <v>13</v>
      </c>
      <c r="D543" s="3">
        <v>2</v>
      </c>
      <c r="E543" s="4">
        <v>2125.14</v>
      </c>
      <c r="F543" s="4">
        <f t="shared" si="8"/>
        <v>4250.28</v>
      </c>
      <c r="G543" s="3" t="s">
        <v>48</v>
      </c>
      <c r="H543" s="5">
        <v>46168</v>
      </c>
      <c r="I543" s="3" t="str">
        <f>TEXT(Table1[[#This Row],[Date]],"mmm")</f>
        <v>May</v>
      </c>
    </row>
    <row r="544" spans="1:9" x14ac:dyDescent="0.3">
      <c r="A544" s="3" t="s">
        <v>578</v>
      </c>
      <c r="B544" s="3" t="s">
        <v>38</v>
      </c>
      <c r="C544" s="3" t="s">
        <v>39</v>
      </c>
      <c r="D544" s="3">
        <v>2</v>
      </c>
      <c r="E544" s="4">
        <v>6499.09</v>
      </c>
      <c r="F544" s="4">
        <f t="shared" si="8"/>
        <v>12998.18</v>
      </c>
      <c r="G544" s="3" t="s">
        <v>32</v>
      </c>
      <c r="H544" s="5">
        <v>46088</v>
      </c>
      <c r="I544" s="3" t="str">
        <f>TEXT(Table1[[#This Row],[Date]],"mmm")</f>
        <v>Mar</v>
      </c>
    </row>
    <row r="545" spans="1:9" x14ac:dyDescent="0.3">
      <c r="A545" s="3" t="s">
        <v>579</v>
      </c>
      <c r="B545" s="3" t="s">
        <v>62</v>
      </c>
      <c r="C545" s="3" t="s">
        <v>25</v>
      </c>
      <c r="D545" s="3">
        <v>4</v>
      </c>
      <c r="E545" s="4">
        <v>2185.5100000000002</v>
      </c>
      <c r="F545" s="4">
        <f t="shared" si="8"/>
        <v>8742.0400000000009</v>
      </c>
      <c r="G545" s="3" t="s">
        <v>22</v>
      </c>
      <c r="H545" s="5">
        <v>46140</v>
      </c>
      <c r="I545" s="3" t="str">
        <f>TEXT(Table1[[#This Row],[Date]],"mmm")</f>
        <v>Apr</v>
      </c>
    </row>
    <row r="546" spans="1:9" x14ac:dyDescent="0.3">
      <c r="A546" s="3" t="s">
        <v>580</v>
      </c>
      <c r="B546" s="3" t="s">
        <v>72</v>
      </c>
      <c r="C546" s="3" t="s">
        <v>13</v>
      </c>
      <c r="D546" s="3">
        <v>3</v>
      </c>
      <c r="E546" s="4">
        <v>2054.48</v>
      </c>
      <c r="F546" s="4">
        <f t="shared" si="8"/>
        <v>6163.4400000000005</v>
      </c>
      <c r="G546" s="3" t="s">
        <v>14</v>
      </c>
      <c r="H546" s="5">
        <v>46148</v>
      </c>
      <c r="I546" s="3" t="str">
        <f>TEXT(Table1[[#This Row],[Date]],"mmm")</f>
        <v>May</v>
      </c>
    </row>
    <row r="547" spans="1:9" x14ac:dyDescent="0.3">
      <c r="A547" s="3" t="s">
        <v>581</v>
      </c>
      <c r="B547" s="3" t="s">
        <v>72</v>
      </c>
      <c r="C547" s="3" t="s">
        <v>13</v>
      </c>
      <c r="D547" s="3">
        <v>5</v>
      </c>
      <c r="E547" s="4">
        <v>2415.7399999999998</v>
      </c>
      <c r="F547" s="4">
        <f t="shared" si="8"/>
        <v>12078.699999999999</v>
      </c>
      <c r="G547" s="3" t="s">
        <v>46</v>
      </c>
      <c r="H547" s="5">
        <v>46157</v>
      </c>
      <c r="I547" s="3" t="str">
        <f>TEXT(Table1[[#This Row],[Date]],"mmm")</f>
        <v>May</v>
      </c>
    </row>
    <row r="548" spans="1:9" x14ac:dyDescent="0.3">
      <c r="A548" s="3" t="s">
        <v>582</v>
      </c>
      <c r="B548" s="3" t="s">
        <v>91</v>
      </c>
      <c r="C548" s="3" t="s">
        <v>13</v>
      </c>
      <c r="D548" s="3">
        <v>1</v>
      </c>
      <c r="E548" s="4">
        <v>59897.07</v>
      </c>
      <c r="F548" s="4">
        <f t="shared" si="8"/>
        <v>59897.07</v>
      </c>
      <c r="G548" s="3" t="s">
        <v>46</v>
      </c>
      <c r="H548" s="5">
        <v>46024</v>
      </c>
      <c r="I548" s="3" t="str">
        <f>TEXT(Table1[[#This Row],[Date]],"mmm")</f>
        <v>Jan</v>
      </c>
    </row>
    <row r="549" spans="1:9" x14ac:dyDescent="0.3">
      <c r="A549" s="3" t="s">
        <v>583</v>
      </c>
      <c r="B549" s="3" t="s">
        <v>28</v>
      </c>
      <c r="C549" s="3" t="s">
        <v>9</v>
      </c>
      <c r="D549" s="3">
        <v>2</v>
      </c>
      <c r="E549" s="4">
        <v>5341.48</v>
      </c>
      <c r="F549" s="4">
        <f t="shared" si="8"/>
        <v>10682.96</v>
      </c>
      <c r="G549" s="3" t="s">
        <v>29</v>
      </c>
      <c r="H549" s="5">
        <v>46040</v>
      </c>
      <c r="I549" s="3" t="str">
        <f>TEXT(Table1[[#This Row],[Date]],"mmm")</f>
        <v>Jan</v>
      </c>
    </row>
    <row r="550" spans="1:9" x14ac:dyDescent="0.3">
      <c r="A550" s="3" t="s">
        <v>584</v>
      </c>
      <c r="B550" s="3" t="s">
        <v>21</v>
      </c>
      <c r="C550" s="3" t="s">
        <v>13</v>
      </c>
      <c r="D550" s="3">
        <v>2</v>
      </c>
      <c r="E550" s="4">
        <v>25251.19</v>
      </c>
      <c r="F550" s="4">
        <f t="shared" si="8"/>
        <v>50502.38</v>
      </c>
      <c r="G550" s="3" t="s">
        <v>14</v>
      </c>
      <c r="H550" s="5">
        <v>46139</v>
      </c>
      <c r="I550" s="3" t="str">
        <f>TEXT(Table1[[#This Row],[Date]],"mmm")</f>
        <v>Apr</v>
      </c>
    </row>
    <row r="551" spans="1:9" x14ac:dyDescent="0.3">
      <c r="A551" s="3" t="s">
        <v>585</v>
      </c>
      <c r="B551" s="3" t="s">
        <v>55</v>
      </c>
      <c r="C551" s="3" t="s">
        <v>25</v>
      </c>
      <c r="D551" s="3">
        <v>1</v>
      </c>
      <c r="E551" s="4">
        <v>2557.89</v>
      </c>
      <c r="F551" s="4">
        <f t="shared" si="8"/>
        <v>2557.89</v>
      </c>
      <c r="G551" s="3" t="s">
        <v>50</v>
      </c>
      <c r="H551" s="5">
        <v>46146</v>
      </c>
      <c r="I551" s="3" t="str">
        <f>TEXT(Table1[[#This Row],[Date]],"mmm")</f>
        <v>May</v>
      </c>
    </row>
    <row r="552" spans="1:9" x14ac:dyDescent="0.3">
      <c r="A552" s="3" t="s">
        <v>586</v>
      </c>
      <c r="B552" s="3" t="s">
        <v>8</v>
      </c>
      <c r="C552" s="3" t="s">
        <v>9</v>
      </c>
      <c r="D552" s="3">
        <v>4</v>
      </c>
      <c r="E552" s="4">
        <v>1625.66</v>
      </c>
      <c r="F552" s="4">
        <f t="shared" si="8"/>
        <v>6502.64</v>
      </c>
      <c r="G552" s="3" t="s">
        <v>14</v>
      </c>
      <c r="H552" s="5">
        <v>46164</v>
      </c>
      <c r="I552" s="3" t="str">
        <f>TEXT(Table1[[#This Row],[Date]],"mmm")</f>
        <v>May</v>
      </c>
    </row>
    <row r="553" spans="1:9" x14ac:dyDescent="0.3">
      <c r="A553" s="3" t="s">
        <v>587</v>
      </c>
      <c r="B553" s="3" t="s">
        <v>28</v>
      </c>
      <c r="C553" s="3" t="s">
        <v>9</v>
      </c>
      <c r="D553" s="3">
        <v>1</v>
      </c>
      <c r="E553" s="4">
        <v>4515.82</v>
      </c>
      <c r="F553" s="4">
        <f t="shared" si="8"/>
        <v>4515.82</v>
      </c>
      <c r="G553" s="3" t="s">
        <v>10</v>
      </c>
      <c r="H553" s="5">
        <v>46160</v>
      </c>
      <c r="I553" s="3" t="str">
        <f>TEXT(Table1[[#This Row],[Date]],"mmm")</f>
        <v>May</v>
      </c>
    </row>
    <row r="554" spans="1:9" x14ac:dyDescent="0.3">
      <c r="A554" s="3" t="s">
        <v>588</v>
      </c>
      <c r="B554" s="3" t="s">
        <v>24</v>
      </c>
      <c r="C554" s="3" t="s">
        <v>25</v>
      </c>
      <c r="D554" s="3">
        <v>1</v>
      </c>
      <c r="E554" s="4">
        <v>799.35</v>
      </c>
      <c r="F554" s="4">
        <f t="shared" si="8"/>
        <v>799.35</v>
      </c>
      <c r="G554" s="3" t="s">
        <v>48</v>
      </c>
      <c r="H554" s="5">
        <v>46068</v>
      </c>
      <c r="I554" s="3" t="str">
        <f>TEXT(Table1[[#This Row],[Date]],"mmm")</f>
        <v>Feb</v>
      </c>
    </row>
    <row r="555" spans="1:9" x14ac:dyDescent="0.3">
      <c r="A555" s="3" t="s">
        <v>589</v>
      </c>
      <c r="B555" s="3" t="s">
        <v>31</v>
      </c>
      <c r="C555" s="3" t="s">
        <v>13</v>
      </c>
      <c r="D555" s="3">
        <v>1</v>
      </c>
      <c r="E555" s="4">
        <v>18087.79</v>
      </c>
      <c r="F555" s="4">
        <f t="shared" si="8"/>
        <v>18087.79</v>
      </c>
      <c r="G555" s="3" t="s">
        <v>29</v>
      </c>
      <c r="H555" s="5">
        <v>46072</v>
      </c>
      <c r="I555" s="3" t="str">
        <f>TEXT(Table1[[#This Row],[Date]],"mmm")</f>
        <v>Feb</v>
      </c>
    </row>
    <row r="556" spans="1:9" x14ac:dyDescent="0.3">
      <c r="A556" s="3" t="s">
        <v>590</v>
      </c>
      <c r="B556" s="3" t="s">
        <v>16</v>
      </c>
      <c r="C556" s="3" t="s">
        <v>17</v>
      </c>
      <c r="D556" s="3">
        <v>5</v>
      </c>
      <c r="E556" s="4">
        <v>427.72</v>
      </c>
      <c r="F556" s="4">
        <f t="shared" si="8"/>
        <v>2138.6000000000004</v>
      </c>
      <c r="G556" s="3" t="s">
        <v>32</v>
      </c>
      <c r="H556" s="5">
        <v>46091</v>
      </c>
      <c r="I556" s="3" t="str">
        <f>TEXT(Table1[[#This Row],[Date]],"mmm")</f>
        <v>Mar</v>
      </c>
    </row>
    <row r="557" spans="1:9" x14ac:dyDescent="0.3">
      <c r="A557" s="3" t="s">
        <v>591</v>
      </c>
      <c r="B557" s="3" t="s">
        <v>62</v>
      </c>
      <c r="C557" s="3" t="s">
        <v>25</v>
      </c>
      <c r="D557" s="3">
        <v>4</v>
      </c>
      <c r="E557" s="4">
        <v>1830.69</v>
      </c>
      <c r="F557" s="4">
        <f t="shared" si="8"/>
        <v>7322.76</v>
      </c>
      <c r="G557" s="3" t="s">
        <v>48</v>
      </c>
      <c r="H557" s="5">
        <v>46140</v>
      </c>
      <c r="I557" s="3" t="str">
        <f>TEXT(Table1[[#This Row],[Date]],"mmm")</f>
        <v>Apr</v>
      </c>
    </row>
    <row r="558" spans="1:9" x14ac:dyDescent="0.3">
      <c r="A558" s="3" t="s">
        <v>592</v>
      </c>
      <c r="B558" s="3" t="s">
        <v>16</v>
      </c>
      <c r="C558" s="3" t="s">
        <v>17</v>
      </c>
      <c r="D558" s="3">
        <v>2</v>
      </c>
      <c r="E558" s="4">
        <v>494.12</v>
      </c>
      <c r="F558" s="4">
        <f t="shared" si="8"/>
        <v>988.24</v>
      </c>
      <c r="G558" s="3" t="s">
        <v>29</v>
      </c>
      <c r="H558" s="5">
        <v>46099</v>
      </c>
      <c r="I558" s="3" t="str">
        <f>TEXT(Table1[[#This Row],[Date]],"mmm")</f>
        <v>Mar</v>
      </c>
    </row>
    <row r="559" spans="1:9" x14ac:dyDescent="0.3">
      <c r="A559" s="3" t="s">
        <v>593</v>
      </c>
      <c r="B559" s="3" t="s">
        <v>8</v>
      </c>
      <c r="C559" s="3" t="s">
        <v>9</v>
      </c>
      <c r="D559" s="3">
        <v>1</v>
      </c>
      <c r="E559" s="4">
        <v>1855.34</v>
      </c>
      <c r="F559" s="4">
        <f t="shared" si="8"/>
        <v>1855.34</v>
      </c>
      <c r="G559" s="3" t="s">
        <v>46</v>
      </c>
      <c r="H559" s="5">
        <v>46046</v>
      </c>
      <c r="I559" s="3" t="str">
        <f>TEXT(Table1[[#This Row],[Date]],"mmm")</f>
        <v>Jan</v>
      </c>
    </row>
    <row r="560" spans="1:9" x14ac:dyDescent="0.3">
      <c r="A560" s="3" t="s">
        <v>594</v>
      </c>
      <c r="B560" s="3" t="s">
        <v>28</v>
      </c>
      <c r="C560" s="3" t="s">
        <v>9</v>
      </c>
      <c r="D560" s="3">
        <v>4</v>
      </c>
      <c r="E560" s="4">
        <v>4876.1899999999996</v>
      </c>
      <c r="F560" s="4">
        <f t="shared" si="8"/>
        <v>19504.759999999998</v>
      </c>
      <c r="G560" s="3" t="s">
        <v>22</v>
      </c>
      <c r="H560" s="5">
        <v>46037</v>
      </c>
      <c r="I560" s="3" t="str">
        <f>TEXT(Table1[[#This Row],[Date]],"mmm")</f>
        <v>Jan</v>
      </c>
    </row>
    <row r="561" spans="1:9" x14ac:dyDescent="0.3">
      <c r="A561" s="3" t="s">
        <v>595</v>
      </c>
      <c r="B561" s="3" t="s">
        <v>8</v>
      </c>
      <c r="C561" s="3" t="s">
        <v>9</v>
      </c>
      <c r="D561" s="3">
        <v>1</v>
      </c>
      <c r="E561" s="4">
        <v>1873.02</v>
      </c>
      <c r="F561" s="4">
        <f t="shared" si="8"/>
        <v>1873.02</v>
      </c>
      <c r="G561" s="3" t="s">
        <v>18</v>
      </c>
      <c r="H561" s="5">
        <v>46150</v>
      </c>
      <c r="I561" s="3" t="str">
        <f>TEXT(Table1[[#This Row],[Date]],"mmm")</f>
        <v>May</v>
      </c>
    </row>
    <row r="562" spans="1:9" x14ac:dyDescent="0.3">
      <c r="A562" s="3" t="s">
        <v>596</v>
      </c>
      <c r="B562" s="3" t="s">
        <v>38</v>
      </c>
      <c r="C562" s="3" t="s">
        <v>39</v>
      </c>
      <c r="D562" s="3">
        <v>4</v>
      </c>
      <c r="E562" s="4">
        <v>6688.38</v>
      </c>
      <c r="F562" s="4">
        <f t="shared" si="8"/>
        <v>26753.52</v>
      </c>
      <c r="G562" s="3" t="s">
        <v>32</v>
      </c>
      <c r="H562" s="5">
        <v>46167</v>
      </c>
      <c r="I562" s="3" t="str">
        <f>TEXT(Table1[[#This Row],[Date]],"mmm")</f>
        <v>May</v>
      </c>
    </row>
    <row r="563" spans="1:9" x14ac:dyDescent="0.3">
      <c r="A563" s="3" t="s">
        <v>597</v>
      </c>
      <c r="B563" s="3" t="s">
        <v>38</v>
      </c>
      <c r="C563" s="3" t="s">
        <v>39</v>
      </c>
      <c r="D563" s="3">
        <v>1</v>
      </c>
      <c r="E563" s="4">
        <v>7013.23</v>
      </c>
      <c r="F563" s="4">
        <f t="shared" si="8"/>
        <v>7013.23</v>
      </c>
      <c r="G563" s="3" t="s">
        <v>46</v>
      </c>
      <c r="H563" s="5">
        <v>46081</v>
      </c>
      <c r="I563" s="3" t="str">
        <f>TEXT(Table1[[#This Row],[Date]],"mmm")</f>
        <v>Feb</v>
      </c>
    </row>
    <row r="564" spans="1:9" x14ac:dyDescent="0.3">
      <c r="A564" s="3" t="s">
        <v>598</v>
      </c>
      <c r="B564" s="3" t="s">
        <v>12</v>
      </c>
      <c r="C564" s="3" t="s">
        <v>13</v>
      </c>
      <c r="D564" s="3">
        <v>5</v>
      </c>
      <c r="E564" s="4">
        <v>1492.65</v>
      </c>
      <c r="F564" s="4">
        <f t="shared" si="8"/>
        <v>7463.25</v>
      </c>
      <c r="G564" s="3" t="s">
        <v>46</v>
      </c>
      <c r="H564" s="5">
        <v>46042</v>
      </c>
      <c r="I564" s="3" t="str">
        <f>TEXT(Table1[[#This Row],[Date]],"mmm")</f>
        <v>Jan</v>
      </c>
    </row>
    <row r="565" spans="1:9" x14ac:dyDescent="0.3">
      <c r="A565" s="3" t="s">
        <v>599</v>
      </c>
      <c r="B565" s="3" t="s">
        <v>8</v>
      </c>
      <c r="C565" s="3" t="s">
        <v>9</v>
      </c>
      <c r="D565" s="3">
        <v>3</v>
      </c>
      <c r="E565" s="4">
        <v>1943.75</v>
      </c>
      <c r="F565" s="4">
        <f t="shared" si="8"/>
        <v>5831.25</v>
      </c>
      <c r="G565" s="3" t="s">
        <v>50</v>
      </c>
      <c r="H565" s="5">
        <v>46191</v>
      </c>
      <c r="I565" s="3" t="str">
        <f>TEXT(Table1[[#This Row],[Date]],"mmm")</f>
        <v>Jun</v>
      </c>
    </row>
    <row r="566" spans="1:9" x14ac:dyDescent="0.3">
      <c r="A566" s="3" t="s">
        <v>600</v>
      </c>
      <c r="B566" s="3" t="s">
        <v>91</v>
      </c>
      <c r="C566" s="3" t="s">
        <v>13</v>
      </c>
      <c r="D566" s="3">
        <v>2</v>
      </c>
      <c r="E566" s="4">
        <v>59716.43</v>
      </c>
      <c r="F566" s="4">
        <f t="shared" si="8"/>
        <v>119432.86</v>
      </c>
      <c r="G566" s="3" t="s">
        <v>32</v>
      </c>
      <c r="H566" s="5">
        <v>46027</v>
      </c>
      <c r="I566" s="3" t="str">
        <f>TEXT(Table1[[#This Row],[Date]],"mmm")</f>
        <v>Jan</v>
      </c>
    </row>
    <row r="567" spans="1:9" x14ac:dyDescent="0.3">
      <c r="A567" s="3" t="s">
        <v>601</v>
      </c>
      <c r="B567" s="3" t="s">
        <v>12</v>
      </c>
      <c r="C567" s="3" t="s">
        <v>13</v>
      </c>
      <c r="D567" s="3">
        <v>5</v>
      </c>
      <c r="E567" s="4">
        <v>1393.26</v>
      </c>
      <c r="F567" s="4">
        <f t="shared" si="8"/>
        <v>6966.3</v>
      </c>
      <c r="G567" s="3" t="s">
        <v>48</v>
      </c>
      <c r="H567" s="5">
        <v>46042</v>
      </c>
      <c r="I567" s="3" t="str">
        <f>TEXT(Table1[[#This Row],[Date]],"mmm")</f>
        <v>Jan</v>
      </c>
    </row>
    <row r="568" spans="1:9" x14ac:dyDescent="0.3">
      <c r="A568" s="3" t="s">
        <v>602</v>
      </c>
      <c r="B568" s="3" t="s">
        <v>24</v>
      </c>
      <c r="C568" s="3" t="s">
        <v>25</v>
      </c>
      <c r="D568" s="3">
        <v>2</v>
      </c>
      <c r="E568" s="4">
        <v>809.22</v>
      </c>
      <c r="F568" s="4">
        <f t="shared" si="8"/>
        <v>1618.44</v>
      </c>
      <c r="G568" s="3" t="s">
        <v>50</v>
      </c>
      <c r="H568" s="5">
        <v>46122</v>
      </c>
      <c r="I568" s="3" t="str">
        <f>TEXT(Table1[[#This Row],[Date]],"mmm")</f>
        <v>Apr</v>
      </c>
    </row>
    <row r="569" spans="1:9" x14ac:dyDescent="0.3">
      <c r="A569" s="3" t="s">
        <v>603</v>
      </c>
      <c r="B569" s="3" t="s">
        <v>8</v>
      </c>
      <c r="C569" s="3" t="s">
        <v>9</v>
      </c>
      <c r="D569" s="3">
        <v>5</v>
      </c>
      <c r="E569" s="4">
        <v>1739.42</v>
      </c>
      <c r="F569" s="4">
        <f t="shared" si="8"/>
        <v>8697.1</v>
      </c>
      <c r="G569" s="3" t="s">
        <v>26</v>
      </c>
      <c r="H569" s="5">
        <v>46199</v>
      </c>
      <c r="I569" s="3" t="str">
        <f>TEXT(Table1[[#This Row],[Date]],"mmm")</f>
        <v>Jun</v>
      </c>
    </row>
    <row r="570" spans="1:9" x14ac:dyDescent="0.3">
      <c r="A570" s="3" t="s">
        <v>604</v>
      </c>
      <c r="B570" s="3" t="s">
        <v>21</v>
      </c>
      <c r="C570" s="3" t="s">
        <v>13</v>
      </c>
      <c r="D570" s="3">
        <v>1</v>
      </c>
      <c r="E570" s="4">
        <v>28004.44</v>
      </c>
      <c r="F570" s="4">
        <f t="shared" si="8"/>
        <v>28004.44</v>
      </c>
      <c r="G570" s="3" t="s">
        <v>32</v>
      </c>
      <c r="H570" s="5">
        <v>46036</v>
      </c>
      <c r="I570" s="3" t="str">
        <f>TEXT(Table1[[#This Row],[Date]],"mmm")</f>
        <v>Jan</v>
      </c>
    </row>
    <row r="571" spans="1:9" x14ac:dyDescent="0.3">
      <c r="A571" s="3" t="s">
        <v>605</v>
      </c>
      <c r="B571" s="3" t="s">
        <v>31</v>
      </c>
      <c r="C571" s="3" t="s">
        <v>13</v>
      </c>
      <c r="D571" s="3">
        <v>4</v>
      </c>
      <c r="E571" s="4">
        <v>17035.72</v>
      </c>
      <c r="F571" s="4">
        <f t="shared" si="8"/>
        <v>68142.880000000005</v>
      </c>
      <c r="G571" s="3" t="s">
        <v>18</v>
      </c>
      <c r="H571" s="5">
        <v>46110</v>
      </c>
      <c r="I571" s="3" t="str">
        <f>TEXT(Table1[[#This Row],[Date]],"mmm")</f>
        <v>Mar</v>
      </c>
    </row>
    <row r="572" spans="1:9" x14ac:dyDescent="0.3">
      <c r="A572" s="3" t="s">
        <v>606</v>
      </c>
      <c r="B572" s="3" t="s">
        <v>16</v>
      </c>
      <c r="C572" s="3" t="s">
        <v>17</v>
      </c>
      <c r="D572" s="3">
        <v>5</v>
      </c>
      <c r="E572" s="4">
        <v>490.94</v>
      </c>
      <c r="F572" s="4">
        <f t="shared" si="8"/>
        <v>2454.6999999999998</v>
      </c>
      <c r="G572" s="3" t="s">
        <v>48</v>
      </c>
      <c r="H572" s="5">
        <v>46106</v>
      </c>
      <c r="I572" s="3" t="str">
        <f>TEXT(Table1[[#This Row],[Date]],"mmm")</f>
        <v>Mar</v>
      </c>
    </row>
    <row r="573" spans="1:9" x14ac:dyDescent="0.3">
      <c r="A573" s="3" t="s">
        <v>607</v>
      </c>
      <c r="B573" s="3" t="s">
        <v>91</v>
      </c>
      <c r="C573" s="3" t="s">
        <v>13</v>
      </c>
      <c r="D573" s="3">
        <v>3</v>
      </c>
      <c r="E573" s="4">
        <v>58119.03</v>
      </c>
      <c r="F573" s="4">
        <f t="shared" si="8"/>
        <v>174357.09</v>
      </c>
      <c r="G573" s="3" t="s">
        <v>22</v>
      </c>
      <c r="H573" s="5">
        <v>46148</v>
      </c>
      <c r="I573" s="3" t="str">
        <f>TEXT(Table1[[#This Row],[Date]],"mmm")</f>
        <v>May</v>
      </c>
    </row>
    <row r="574" spans="1:9" x14ac:dyDescent="0.3">
      <c r="A574" s="3" t="s">
        <v>608</v>
      </c>
      <c r="B574" s="3" t="s">
        <v>12</v>
      </c>
      <c r="C574" s="3" t="s">
        <v>13</v>
      </c>
      <c r="D574" s="3">
        <v>3</v>
      </c>
      <c r="E574" s="4">
        <v>1515.91</v>
      </c>
      <c r="F574" s="4">
        <f t="shared" si="8"/>
        <v>4547.7300000000005</v>
      </c>
      <c r="G574" s="3" t="s">
        <v>48</v>
      </c>
      <c r="H574" s="5">
        <v>46133</v>
      </c>
      <c r="I574" s="3" t="str">
        <f>TEXT(Table1[[#This Row],[Date]],"mmm")</f>
        <v>Apr</v>
      </c>
    </row>
    <row r="575" spans="1:9" x14ac:dyDescent="0.3">
      <c r="A575" s="3" t="s">
        <v>609</v>
      </c>
      <c r="B575" s="3" t="s">
        <v>72</v>
      </c>
      <c r="C575" s="3" t="s">
        <v>13</v>
      </c>
      <c r="D575" s="3">
        <v>5</v>
      </c>
      <c r="E575" s="4">
        <v>2270.6999999999998</v>
      </c>
      <c r="F575" s="4">
        <f t="shared" si="8"/>
        <v>11353.5</v>
      </c>
      <c r="G575" s="3" t="s">
        <v>18</v>
      </c>
      <c r="H575" s="5">
        <v>46181</v>
      </c>
      <c r="I575" s="3" t="str">
        <f>TEXT(Table1[[#This Row],[Date]],"mmm")</f>
        <v>Jun</v>
      </c>
    </row>
    <row r="576" spans="1:9" x14ac:dyDescent="0.3">
      <c r="A576" s="3" t="s">
        <v>610</v>
      </c>
      <c r="B576" s="3" t="s">
        <v>24</v>
      </c>
      <c r="C576" s="3" t="s">
        <v>25</v>
      </c>
      <c r="D576" s="3">
        <v>2</v>
      </c>
      <c r="E576" s="4">
        <v>833.05</v>
      </c>
      <c r="F576" s="4">
        <f t="shared" si="8"/>
        <v>1666.1</v>
      </c>
      <c r="G576" s="3" t="s">
        <v>18</v>
      </c>
      <c r="H576" s="5">
        <v>46091</v>
      </c>
      <c r="I576" s="3" t="str">
        <f>TEXT(Table1[[#This Row],[Date]],"mmm")</f>
        <v>Mar</v>
      </c>
    </row>
    <row r="577" spans="1:9" x14ac:dyDescent="0.3">
      <c r="A577" s="3" t="s">
        <v>611</v>
      </c>
      <c r="B577" s="3" t="s">
        <v>72</v>
      </c>
      <c r="C577" s="3" t="s">
        <v>13</v>
      </c>
      <c r="D577" s="3">
        <v>4</v>
      </c>
      <c r="E577" s="4">
        <v>2293.14</v>
      </c>
      <c r="F577" s="4">
        <f t="shared" si="8"/>
        <v>9172.56</v>
      </c>
      <c r="G577" s="3" t="s">
        <v>26</v>
      </c>
      <c r="H577" s="5">
        <v>46122</v>
      </c>
      <c r="I577" s="3" t="str">
        <f>TEXT(Table1[[#This Row],[Date]],"mmm")</f>
        <v>Apr</v>
      </c>
    </row>
    <row r="578" spans="1:9" x14ac:dyDescent="0.3">
      <c r="A578" s="3" t="s">
        <v>612</v>
      </c>
      <c r="B578" s="3" t="s">
        <v>55</v>
      </c>
      <c r="C578" s="3" t="s">
        <v>25</v>
      </c>
      <c r="D578" s="3">
        <v>3</v>
      </c>
      <c r="E578" s="4">
        <v>2302.35</v>
      </c>
      <c r="F578" s="4">
        <f t="shared" si="8"/>
        <v>6907.0499999999993</v>
      </c>
      <c r="G578" s="3" t="s">
        <v>46</v>
      </c>
      <c r="H578" s="5">
        <v>46101</v>
      </c>
      <c r="I578" s="3" t="str">
        <f>TEXT(Table1[[#This Row],[Date]],"mmm")</f>
        <v>Mar</v>
      </c>
    </row>
    <row r="579" spans="1:9" x14ac:dyDescent="0.3">
      <c r="A579" s="3" t="s">
        <v>613</v>
      </c>
      <c r="B579" s="3" t="s">
        <v>44</v>
      </c>
      <c r="C579" s="3" t="s">
        <v>39</v>
      </c>
      <c r="D579" s="3">
        <v>3</v>
      </c>
      <c r="E579" s="4">
        <v>3682.94</v>
      </c>
      <c r="F579" s="4">
        <f t="shared" ref="F579:F642" si="9">D579*E579</f>
        <v>11048.82</v>
      </c>
      <c r="G579" s="3" t="s">
        <v>18</v>
      </c>
      <c r="H579" s="5">
        <v>46056</v>
      </c>
      <c r="I579" s="3" t="str">
        <f>TEXT(Table1[[#This Row],[Date]],"mmm")</f>
        <v>Feb</v>
      </c>
    </row>
    <row r="580" spans="1:9" x14ac:dyDescent="0.3">
      <c r="A580" s="3" t="s">
        <v>614</v>
      </c>
      <c r="B580" s="3" t="s">
        <v>31</v>
      </c>
      <c r="C580" s="3" t="s">
        <v>13</v>
      </c>
      <c r="D580" s="3">
        <v>2</v>
      </c>
      <c r="E580" s="4">
        <v>17751.53</v>
      </c>
      <c r="F580" s="4">
        <f t="shared" si="9"/>
        <v>35503.06</v>
      </c>
      <c r="G580" s="3" t="s">
        <v>14</v>
      </c>
      <c r="H580" s="5">
        <v>46165</v>
      </c>
      <c r="I580" s="3" t="str">
        <f>TEXT(Table1[[#This Row],[Date]],"mmm")</f>
        <v>May</v>
      </c>
    </row>
    <row r="581" spans="1:9" x14ac:dyDescent="0.3">
      <c r="A581" s="3" t="s">
        <v>615</v>
      </c>
      <c r="B581" s="3" t="s">
        <v>80</v>
      </c>
      <c r="C581" s="3" t="s">
        <v>39</v>
      </c>
      <c r="D581" s="3">
        <v>4</v>
      </c>
      <c r="E581" s="4">
        <v>3866.77</v>
      </c>
      <c r="F581" s="4">
        <f t="shared" si="9"/>
        <v>15467.08</v>
      </c>
      <c r="G581" s="3" t="s">
        <v>18</v>
      </c>
      <c r="H581" s="5">
        <v>46113</v>
      </c>
      <c r="I581" s="3" t="str">
        <f>TEXT(Table1[[#This Row],[Date]],"mmm")</f>
        <v>Apr</v>
      </c>
    </row>
    <row r="582" spans="1:9" x14ac:dyDescent="0.3">
      <c r="A582" s="3" t="s">
        <v>616</v>
      </c>
      <c r="B582" s="3" t="s">
        <v>80</v>
      </c>
      <c r="C582" s="3" t="s">
        <v>39</v>
      </c>
      <c r="D582" s="3">
        <v>1</v>
      </c>
      <c r="E582" s="4">
        <v>4281.42</v>
      </c>
      <c r="F582" s="4">
        <f t="shared" si="9"/>
        <v>4281.42</v>
      </c>
      <c r="G582" s="3" t="s">
        <v>32</v>
      </c>
      <c r="H582" s="5">
        <v>46121</v>
      </c>
      <c r="I582" s="3" t="str">
        <f>TEXT(Table1[[#This Row],[Date]],"mmm")</f>
        <v>Apr</v>
      </c>
    </row>
    <row r="583" spans="1:9" x14ac:dyDescent="0.3">
      <c r="A583" s="3" t="s">
        <v>617</v>
      </c>
      <c r="B583" s="3" t="s">
        <v>91</v>
      </c>
      <c r="C583" s="3" t="s">
        <v>13</v>
      </c>
      <c r="D583" s="3">
        <v>3</v>
      </c>
      <c r="E583" s="4">
        <v>54051.91</v>
      </c>
      <c r="F583" s="4">
        <f t="shared" si="9"/>
        <v>162155.73000000001</v>
      </c>
      <c r="G583" s="3" t="s">
        <v>18</v>
      </c>
      <c r="H583" s="5">
        <v>46166</v>
      </c>
      <c r="I583" s="3" t="str">
        <f>TEXT(Table1[[#This Row],[Date]],"mmm")</f>
        <v>May</v>
      </c>
    </row>
    <row r="584" spans="1:9" x14ac:dyDescent="0.3">
      <c r="A584" s="3" t="s">
        <v>618</v>
      </c>
      <c r="B584" s="3" t="s">
        <v>12</v>
      </c>
      <c r="C584" s="3" t="s">
        <v>13</v>
      </c>
      <c r="D584" s="3">
        <v>5</v>
      </c>
      <c r="E584" s="4">
        <v>1506.33</v>
      </c>
      <c r="F584" s="4">
        <f t="shared" si="9"/>
        <v>7531.65</v>
      </c>
      <c r="G584" s="3" t="s">
        <v>48</v>
      </c>
      <c r="H584" s="5">
        <v>46066</v>
      </c>
      <c r="I584" s="3" t="str">
        <f>TEXT(Table1[[#This Row],[Date]],"mmm")</f>
        <v>Feb</v>
      </c>
    </row>
    <row r="585" spans="1:9" x14ac:dyDescent="0.3">
      <c r="A585" s="3" t="s">
        <v>619</v>
      </c>
      <c r="B585" s="3" t="s">
        <v>72</v>
      </c>
      <c r="C585" s="3" t="s">
        <v>13</v>
      </c>
      <c r="D585" s="3">
        <v>3</v>
      </c>
      <c r="E585" s="4">
        <v>2112.5</v>
      </c>
      <c r="F585" s="4">
        <f t="shared" si="9"/>
        <v>6337.5</v>
      </c>
      <c r="G585" s="3" t="s">
        <v>22</v>
      </c>
      <c r="H585" s="5">
        <v>46060</v>
      </c>
      <c r="I585" s="3" t="str">
        <f>TEXT(Table1[[#This Row],[Date]],"mmm")</f>
        <v>Feb</v>
      </c>
    </row>
    <row r="586" spans="1:9" x14ac:dyDescent="0.3">
      <c r="A586" s="3" t="s">
        <v>620</v>
      </c>
      <c r="B586" s="3" t="s">
        <v>31</v>
      </c>
      <c r="C586" s="3" t="s">
        <v>13</v>
      </c>
      <c r="D586" s="3">
        <v>2</v>
      </c>
      <c r="E586" s="4">
        <v>17764.830000000002</v>
      </c>
      <c r="F586" s="4">
        <f t="shared" si="9"/>
        <v>35529.660000000003</v>
      </c>
      <c r="G586" s="3" t="s">
        <v>48</v>
      </c>
      <c r="H586" s="5">
        <v>46099</v>
      </c>
      <c r="I586" s="3" t="str">
        <f>TEXT(Table1[[#This Row],[Date]],"mmm")</f>
        <v>Mar</v>
      </c>
    </row>
    <row r="587" spans="1:9" x14ac:dyDescent="0.3">
      <c r="A587" s="3" t="s">
        <v>621</v>
      </c>
      <c r="B587" s="3" t="s">
        <v>44</v>
      </c>
      <c r="C587" s="3" t="s">
        <v>39</v>
      </c>
      <c r="D587" s="3">
        <v>1</v>
      </c>
      <c r="E587" s="4">
        <v>3402.79</v>
      </c>
      <c r="F587" s="4">
        <f t="shared" si="9"/>
        <v>3402.79</v>
      </c>
      <c r="G587" s="3" t="s">
        <v>29</v>
      </c>
      <c r="H587" s="5">
        <v>46183</v>
      </c>
      <c r="I587" s="3" t="str">
        <f>TEXT(Table1[[#This Row],[Date]],"mmm")</f>
        <v>Jun</v>
      </c>
    </row>
    <row r="588" spans="1:9" x14ac:dyDescent="0.3">
      <c r="A588" s="3" t="s">
        <v>622</v>
      </c>
      <c r="B588" s="3" t="s">
        <v>44</v>
      </c>
      <c r="C588" s="3" t="s">
        <v>39</v>
      </c>
      <c r="D588" s="3">
        <v>5</v>
      </c>
      <c r="E588" s="4">
        <v>3581.67</v>
      </c>
      <c r="F588" s="4">
        <f t="shared" si="9"/>
        <v>17908.349999999999</v>
      </c>
      <c r="G588" s="3" t="s">
        <v>22</v>
      </c>
      <c r="H588" s="5">
        <v>46050</v>
      </c>
      <c r="I588" s="3" t="str">
        <f>TEXT(Table1[[#This Row],[Date]],"mmm")</f>
        <v>Jan</v>
      </c>
    </row>
    <row r="589" spans="1:9" x14ac:dyDescent="0.3">
      <c r="A589" s="3" t="s">
        <v>623</v>
      </c>
      <c r="B589" s="3" t="s">
        <v>72</v>
      </c>
      <c r="C589" s="3" t="s">
        <v>13</v>
      </c>
      <c r="D589" s="3">
        <v>3</v>
      </c>
      <c r="E589" s="4">
        <v>1982.98</v>
      </c>
      <c r="F589" s="4">
        <f t="shared" si="9"/>
        <v>5948.9400000000005</v>
      </c>
      <c r="G589" s="3" t="s">
        <v>48</v>
      </c>
      <c r="H589" s="5">
        <v>46108</v>
      </c>
      <c r="I589" s="3" t="str">
        <f>TEXT(Table1[[#This Row],[Date]],"mmm")</f>
        <v>Mar</v>
      </c>
    </row>
    <row r="590" spans="1:9" x14ac:dyDescent="0.3">
      <c r="A590" s="3" t="s">
        <v>624</v>
      </c>
      <c r="B590" s="3" t="s">
        <v>38</v>
      </c>
      <c r="C590" s="3" t="s">
        <v>39</v>
      </c>
      <c r="D590" s="3">
        <v>5</v>
      </c>
      <c r="E590" s="4">
        <v>6343.86</v>
      </c>
      <c r="F590" s="4">
        <f t="shared" si="9"/>
        <v>31719.3</v>
      </c>
      <c r="G590" s="3" t="s">
        <v>32</v>
      </c>
      <c r="H590" s="5">
        <v>46135</v>
      </c>
      <c r="I590" s="3" t="str">
        <f>TEXT(Table1[[#This Row],[Date]],"mmm")</f>
        <v>Apr</v>
      </c>
    </row>
    <row r="591" spans="1:9" x14ac:dyDescent="0.3">
      <c r="A591" s="3" t="s">
        <v>625</v>
      </c>
      <c r="B591" s="3" t="s">
        <v>55</v>
      </c>
      <c r="C591" s="3" t="s">
        <v>25</v>
      </c>
      <c r="D591" s="3">
        <v>4</v>
      </c>
      <c r="E591" s="4">
        <v>2656.67</v>
      </c>
      <c r="F591" s="4">
        <f t="shared" si="9"/>
        <v>10626.68</v>
      </c>
      <c r="G591" s="3" t="s">
        <v>50</v>
      </c>
      <c r="H591" s="5">
        <v>46057</v>
      </c>
      <c r="I591" s="3" t="str">
        <f>TEXT(Table1[[#This Row],[Date]],"mmm")</f>
        <v>Feb</v>
      </c>
    </row>
    <row r="592" spans="1:9" x14ac:dyDescent="0.3">
      <c r="A592" s="3" t="s">
        <v>626</v>
      </c>
      <c r="B592" s="3" t="s">
        <v>24</v>
      </c>
      <c r="C592" s="3" t="s">
        <v>25</v>
      </c>
      <c r="D592" s="3">
        <v>3</v>
      </c>
      <c r="E592" s="4">
        <v>815.49</v>
      </c>
      <c r="F592" s="4">
        <f t="shared" si="9"/>
        <v>2446.4700000000003</v>
      </c>
      <c r="G592" s="3" t="s">
        <v>29</v>
      </c>
      <c r="H592" s="5">
        <v>46145</v>
      </c>
      <c r="I592" s="3" t="str">
        <f>TEXT(Table1[[#This Row],[Date]],"mmm")</f>
        <v>May</v>
      </c>
    </row>
    <row r="593" spans="1:9" x14ac:dyDescent="0.3">
      <c r="A593" s="3" t="s">
        <v>627</v>
      </c>
      <c r="B593" s="3" t="s">
        <v>55</v>
      </c>
      <c r="C593" s="3" t="s">
        <v>25</v>
      </c>
      <c r="D593" s="3">
        <v>2</v>
      </c>
      <c r="E593" s="4">
        <v>2731.19</v>
      </c>
      <c r="F593" s="4">
        <f t="shared" si="9"/>
        <v>5462.38</v>
      </c>
      <c r="G593" s="3" t="s">
        <v>32</v>
      </c>
      <c r="H593" s="5">
        <v>46097</v>
      </c>
      <c r="I593" s="3" t="str">
        <f>TEXT(Table1[[#This Row],[Date]],"mmm")</f>
        <v>Mar</v>
      </c>
    </row>
    <row r="594" spans="1:9" x14ac:dyDescent="0.3">
      <c r="A594" s="3" t="s">
        <v>628</v>
      </c>
      <c r="B594" s="3" t="s">
        <v>21</v>
      </c>
      <c r="C594" s="3" t="s">
        <v>13</v>
      </c>
      <c r="D594" s="3">
        <v>4</v>
      </c>
      <c r="E594" s="4">
        <v>30619.47</v>
      </c>
      <c r="F594" s="4">
        <f t="shared" si="9"/>
        <v>122477.88</v>
      </c>
      <c r="G594" s="3" t="s">
        <v>29</v>
      </c>
      <c r="H594" s="5">
        <v>46106</v>
      </c>
      <c r="I594" s="3" t="str">
        <f>TEXT(Table1[[#This Row],[Date]],"mmm")</f>
        <v>Mar</v>
      </c>
    </row>
    <row r="595" spans="1:9" x14ac:dyDescent="0.3">
      <c r="A595" s="3" t="s">
        <v>629</v>
      </c>
      <c r="B595" s="3" t="s">
        <v>28</v>
      </c>
      <c r="C595" s="3" t="s">
        <v>9</v>
      </c>
      <c r="D595" s="3">
        <v>3</v>
      </c>
      <c r="E595" s="4">
        <v>5315.43</v>
      </c>
      <c r="F595" s="4">
        <f t="shared" si="9"/>
        <v>15946.29</v>
      </c>
      <c r="G595" s="3" t="s">
        <v>48</v>
      </c>
      <c r="H595" s="5">
        <v>46116</v>
      </c>
      <c r="I595" s="3" t="str">
        <f>TEXT(Table1[[#This Row],[Date]],"mmm")</f>
        <v>Apr</v>
      </c>
    </row>
    <row r="596" spans="1:9" x14ac:dyDescent="0.3">
      <c r="A596" s="3" t="s">
        <v>630</v>
      </c>
      <c r="B596" s="3" t="s">
        <v>31</v>
      </c>
      <c r="C596" s="3" t="s">
        <v>13</v>
      </c>
      <c r="D596" s="3">
        <v>5</v>
      </c>
      <c r="E596" s="4">
        <v>16919.28</v>
      </c>
      <c r="F596" s="4">
        <f t="shared" si="9"/>
        <v>84596.4</v>
      </c>
      <c r="G596" s="3" t="s">
        <v>14</v>
      </c>
      <c r="H596" s="5">
        <v>46069</v>
      </c>
      <c r="I596" s="3" t="str">
        <f>TEXT(Table1[[#This Row],[Date]],"mmm")</f>
        <v>Feb</v>
      </c>
    </row>
    <row r="597" spans="1:9" x14ac:dyDescent="0.3">
      <c r="A597" s="3" t="s">
        <v>631</v>
      </c>
      <c r="B597" s="3" t="s">
        <v>8</v>
      </c>
      <c r="C597" s="3" t="s">
        <v>9</v>
      </c>
      <c r="D597" s="3">
        <v>5</v>
      </c>
      <c r="E597" s="4">
        <v>1629.69</v>
      </c>
      <c r="F597" s="4">
        <f t="shared" si="9"/>
        <v>8148.4500000000007</v>
      </c>
      <c r="G597" s="3" t="s">
        <v>22</v>
      </c>
      <c r="H597" s="5">
        <v>46076</v>
      </c>
      <c r="I597" s="3" t="str">
        <f>TEXT(Table1[[#This Row],[Date]],"mmm")</f>
        <v>Feb</v>
      </c>
    </row>
    <row r="598" spans="1:9" x14ac:dyDescent="0.3">
      <c r="A598" s="3" t="s">
        <v>632</v>
      </c>
      <c r="B598" s="3" t="s">
        <v>44</v>
      </c>
      <c r="C598" s="3" t="s">
        <v>39</v>
      </c>
      <c r="D598" s="3">
        <v>3</v>
      </c>
      <c r="E598" s="4">
        <v>3731.9</v>
      </c>
      <c r="F598" s="4">
        <f t="shared" si="9"/>
        <v>11195.7</v>
      </c>
      <c r="G598" s="3" t="s">
        <v>18</v>
      </c>
      <c r="H598" s="5">
        <v>46127</v>
      </c>
      <c r="I598" s="3" t="str">
        <f>TEXT(Table1[[#This Row],[Date]],"mmm")</f>
        <v>Apr</v>
      </c>
    </row>
    <row r="599" spans="1:9" x14ac:dyDescent="0.3">
      <c r="A599" s="3" t="s">
        <v>633</v>
      </c>
      <c r="B599" s="3" t="s">
        <v>8</v>
      </c>
      <c r="C599" s="3" t="s">
        <v>9</v>
      </c>
      <c r="D599" s="3">
        <v>4</v>
      </c>
      <c r="E599" s="4">
        <v>1670.1</v>
      </c>
      <c r="F599" s="4">
        <f t="shared" si="9"/>
        <v>6680.4</v>
      </c>
      <c r="G599" s="3" t="s">
        <v>10</v>
      </c>
      <c r="H599" s="5">
        <v>46084</v>
      </c>
      <c r="I599" s="3" t="str">
        <f>TEXT(Table1[[#This Row],[Date]],"mmm")</f>
        <v>Mar</v>
      </c>
    </row>
    <row r="600" spans="1:9" x14ac:dyDescent="0.3">
      <c r="A600" s="3" t="s">
        <v>634</v>
      </c>
      <c r="B600" s="3" t="s">
        <v>24</v>
      </c>
      <c r="C600" s="3" t="s">
        <v>25</v>
      </c>
      <c r="D600" s="3">
        <v>2</v>
      </c>
      <c r="E600" s="4">
        <v>833.39</v>
      </c>
      <c r="F600" s="4">
        <f t="shared" si="9"/>
        <v>1666.78</v>
      </c>
      <c r="G600" s="3" t="s">
        <v>48</v>
      </c>
      <c r="H600" s="5">
        <v>46041</v>
      </c>
      <c r="I600" s="3" t="str">
        <f>TEXT(Table1[[#This Row],[Date]],"mmm")</f>
        <v>Jan</v>
      </c>
    </row>
    <row r="601" spans="1:9" x14ac:dyDescent="0.3">
      <c r="A601" s="3" t="s">
        <v>635</v>
      </c>
      <c r="B601" s="3" t="s">
        <v>44</v>
      </c>
      <c r="C601" s="3" t="s">
        <v>39</v>
      </c>
      <c r="D601" s="3">
        <v>5</v>
      </c>
      <c r="E601" s="4">
        <v>3485.46</v>
      </c>
      <c r="F601" s="4">
        <f t="shared" si="9"/>
        <v>17427.3</v>
      </c>
      <c r="G601" s="3" t="s">
        <v>48</v>
      </c>
      <c r="H601" s="5">
        <v>46159</v>
      </c>
      <c r="I601" s="3" t="str">
        <f>TEXT(Table1[[#This Row],[Date]],"mmm")</f>
        <v>May</v>
      </c>
    </row>
    <row r="602" spans="1:9" x14ac:dyDescent="0.3">
      <c r="A602" s="3" t="s">
        <v>636</v>
      </c>
      <c r="B602" s="3" t="s">
        <v>80</v>
      </c>
      <c r="C602" s="3" t="s">
        <v>39</v>
      </c>
      <c r="D602" s="3">
        <v>4</v>
      </c>
      <c r="E602" s="4">
        <v>4236.66</v>
      </c>
      <c r="F602" s="4">
        <f t="shared" si="9"/>
        <v>16946.64</v>
      </c>
      <c r="G602" s="3" t="s">
        <v>32</v>
      </c>
      <c r="H602" s="5">
        <v>46202</v>
      </c>
      <c r="I602" s="3" t="str">
        <f>TEXT(Table1[[#This Row],[Date]],"mmm")</f>
        <v>Jun</v>
      </c>
    </row>
    <row r="603" spans="1:9" x14ac:dyDescent="0.3">
      <c r="A603" s="3" t="s">
        <v>637</v>
      </c>
      <c r="B603" s="3" t="s">
        <v>62</v>
      </c>
      <c r="C603" s="3" t="s">
        <v>25</v>
      </c>
      <c r="D603" s="3">
        <v>5</v>
      </c>
      <c r="E603" s="4">
        <v>2036.51</v>
      </c>
      <c r="F603" s="4">
        <f t="shared" si="9"/>
        <v>10182.549999999999</v>
      </c>
      <c r="G603" s="3" t="s">
        <v>18</v>
      </c>
      <c r="H603" s="5">
        <v>46050</v>
      </c>
      <c r="I603" s="3" t="str">
        <f>TEXT(Table1[[#This Row],[Date]],"mmm")</f>
        <v>Jan</v>
      </c>
    </row>
    <row r="604" spans="1:9" x14ac:dyDescent="0.3">
      <c r="A604" s="3" t="s">
        <v>638</v>
      </c>
      <c r="B604" s="3" t="s">
        <v>62</v>
      </c>
      <c r="C604" s="3" t="s">
        <v>25</v>
      </c>
      <c r="D604" s="3">
        <v>2</v>
      </c>
      <c r="E604" s="4">
        <v>2062.0100000000002</v>
      </c>
      <c r="F604" s="4">
        <f t="shared" si="9"/>
        <v>4124.0200000000004</v>
      </c>
      <c r="G604" s="3" t="s">
        <v>32</v>
      </c>
      <c r="H604" s="5">
        <v>46065</v>
      </c>
      <c r="I604" s="3" t="str">
        <f>TEXT(Table1[[#This Row],[Date]],"mmm")</f>
        <v>Feb</v>
      </c>
    </row>
    <row r="605" spans="1:9" x14ac:dyDescent="0.3">
      <c r="A605" s="3" t="s">
        <v>639</v>
      </c>
      <c r="B605" s="3" t="s">
        <v>8</v>
      </c>
      <c r="C605" s="3" t="s">
        <v>9</v>
      </c>
      <c r="D605" s="3">
        <v>5</v>
      </c>
      <c r="E605" s="4">
        <v>1635.95</v>
      </c>
      <c r="F605" s="4">
        <f t="shared" si="9"/>
        <v>8179.75</v>
      </c>
      <c r="G605" s="3" t="s">
        <v>48</v>
      </c>
      <c r="H605" s="5">
        <v>46107</v>
      </c>
      <c r="I605" s="3" t="str">
        <f>TEXT(Table1[[#This Row],[Date]],"mmm")</f>
        <v>Mar</v>
      </c>
    </row>
    <row r="606" spans="1:9" x14ac:dyDescent="0.3">
      <c r="A606" s="3" t="s">
        <v>640</v>
      </c>
      <c r="B606" s="3" t="s">
        <v>62</v>
      </c>
      <c r="C606" s="3" t="s">
        <v>25</v>
      </c>
      <c r="D606" s="3">
        <v>4</v>
      </c>
      <c r="E606" s="4">
        <v>1841.46</v>
      </c>
      <c r="F606" s="4">
        <f t="shared" si="9"/>
        <v>7365.84</v>
      </c>
      <c r="G606" s="3" t="s">
        <v>18</v>
      </c>
      <c r="H606" s="5">
        <v>46089</v>
      </c>
      <c r="I606" s="3" t="str">
        <f>TEXT(Table1[[#This Row],[Date]],"mmm")</f>
        <v>Mar</v>
      </c>
    </row>
    <row r="607" spans="1:9" x14ac:dyDescent="0.3">
      <c r="A607" s="3" t="s">
        <v>641</v>
      </c>
      <c r="B607" s="3" t="s">
        <v>12</v>
      </c>
      <c r="C607" s="3" t="s">
        <v>13</v>
      </c>
      <c r="D607" s="3">
        <v>5</v>
      </c>
      <c r="E607" s="4">
        <v>1574.06</v>
      </c>
      <c r="F607" s="4">
        <f t="shared" si="9"/>
        <v>7870.2999999999993</v>
      </c>
      <c r="G607" s="3" t="s">
        <v>14</v>
      </c>
      <c r="H607" s="5">
        <v>46171</v>
      </c>
      <c r="I607" s="3" t="str">
        <f>TEXT(Table1[[#This Row],[Date]],"mmm")</f>
        <v>May</v>
      </c>
    </row>
    <row r="608" spans="1:9" x14ac:dyDescent="0.3">
      <c r="A608" s="3" t="s">
        <v>642</v>
      </c>
      <c r="B608" s="3" t="s">
        <v>21</v>
      </c>
      <c r="C608" s="3" t="s">
        <v>13</v>
      </c>
      <c r="D608" s="3">
        <v>5</v>
      </c>
      <c r="E608" s="4">
        <v>26437.78</v>
      </c>
      <c r="F608" s="4">
        <f t="shared" si="9"/>
        <v>132188.9</v>
      </c>
      <c r="G608" s="3" t="s">
        <v>32</v>
      </c>
      <c r="H608" s="5">
        <v>46123</v>
      </c>
      <c r="I608" s="3" t="str">
        <f>TEXT(Table1[[#This Row],[Date]],"mmm")</f>
        <v>Apr</v>
      </c>
    </row>
    <row r="609" spans="1:9" x14ac:dyDescent="0.3">
      <c r="A609" s="3" t="s">
        <v>643</v>
      </c>
      <c r="B609" s="3" t="s">
        <v>44</v>
      </c>
      <c r="C609" s="3" t="s">
        <v>39</v>
      </c>
      <c r="D609" s="3">
        <v>5</v>
      </c>
      <c r="E609" s="4">
        <v>3633.31</v>
      </c>
      <c r="F609" s="4">
        <f t="shared" si="9"/>
        <v>18166.55</v>
      </c>
      <c r="G609" s="3" t="s">
        <v>26</v>
      </c>
      <c r="H609" s="5">
        <v>46111</v>
      </c>
      <c r="I609" s="3" t="str">
        <f>TEXT(Table1[[#This Row],[Date]],"mmm")</f>
        <v>Mar</v>
      </c>
    </row>
    <row r="610" spans="1:9" x14ac:dyDescent="0.3">
      <c r="A610" s="3" t="s">
        <v>644</v>
      </c>
      <c r="B610" s="3" t="s">
        <v>91</v>
      </c>
      <c r="C610" s="3" t="s">
        <v>13</v>
      </c>
      <c r="D610" s="3">
        <v>4</v>
      </c>
      <c r="E610" s="4">
        <v>50650.04</v>
      </c>
      <c r="F610" s="4">
        <f t="shared" si="9"/>
        <v>202600.16</v>
      </c>
      <c r="G610" s="3" t="s">
        <v>48</v>
      </c>
      <c r="H610" s="5">
        <v>46044</v>
      </c>
      <c r="I610" s="3" t="str">
        <f>TEXT(Table1[[#This Row],[Date]],"mmm")</f>
        <v>Jan</v>
      </c>
    </row>
    <row r="611" spans="1:9" x14ac:dyDescent="0.3">
      <c r="A611" s="3" t="s">
        <v>645</v>
      </c>
      <c r="B611" s="3" t="s">
        <v>31</v>
      </c>
      <c r="C611" s="3" t="s">
        <v>13</v>
      </c>
      <c r="D611" s="3">
        <v>2</v>
      </c>
      <c r="E611" s="4">
        <v>17453.98</v>
      </c>
      <c r="F611" s="4">
        <f t="shared" si="9"/>
        <v>34907.96</v>
      </c>
      <c r="G611" s="3" t="s">
        <v>32</v>
      </c>
      <c r="H611" s="5">
        <v>46139</v>
      </c>
      <c r="I611" s="3" t="str">
        <f>TEXT(Table1[[#This Row],[Date]],"mmm")</f>
        <v>Apr</v>
      </c>
    </row>
    <row r="612" spans="1:9" x14ac:dyDescent="0.3">
      <c r="A612" s="3" t="s">
        <v>646</v>
      </c>
      <c r="B612" s="3" t="s">
        <v>62</v>
      </c>
      <c r="C612" s="3" t="s">
        <v>25</v>
      </c>
      <c r="D612" s="3">
        <v>2</v>
      </c>
      <c r="E612" s="4">
        <v>2007.44</v>
      </c>
      <c r="F612" s="4">
        <f t="shared" si="9"/>
        <v>4014.88</v>
      </c>
      <c r="G612" s="3" t="s">
        <v>32</v>
      </c>
      <c r="H612" s="5">
        <v>46144</v>
      </c>
      <c r="I612" s="3" t="str">
        <f>TEXT(Table1[[#This Row],[Date]],"mmm")</f>
        <v>May</v>
      </c>
    </row>
    <row r="613" spans="1:9" x14ac:dyDescent="0.3">
      <c r="A613" s="3" t="s">
        <v>647</v>
      </c>
      <c r="B613" s="3" t="s">
        <v>31</v>
      </c>
      <c r="C613" s="3" t="s">
        <v>13</v>
      </c>
      <c r="D613" s="3">
        <v>4</v>
      </c>
      <c r="E613" s="4">
        <v>18799.18</v>
      </c>
      <c r="F613" s="4">
        <f t="shared" si="9"/>
        <v>75196.72</v>
      </c>
      <c r="G613" s="3" t="s">
        <v>22</v>
      </c>
      <c r="H613" s="5">
        <v>46104</v>
      </c>
      <c r="I613" s="3" t="str">
        <f>TEXT(Table1[[#This Row],[Date]],"mmm")</f>
        <v>Mar</v>
      </c>
    </row>
    <row r="614" spans="1:9" x14ac:dyDescent="0.3">
      <c r="A614" s="3" t="s">
        <v>648</v>
      </c>
      <c r="B614" s="3" t="s">
        <v>31</v>
      </c>
      <c r="C614" s="3" t="s">
        <v>13</v>
      </c>
      <c r="D614" s="3">
        <v>3</v>
      </c>
      <c r="E614" s="4">
        <v>16360.86</v>
      </c>
      <c r="F614" s="4">
        <f t="shared" si="9"/>
        <v>49082.58</v>
      </c>
      <c r="G614" s="3" t="s">
        <v>18</v>
      </c>
      <c r="H614" s="5">
        <v>46028</v>
      </c>
      <c r="I614" s="3" t="str">
        <f>TEXT(Table1[[#This Row],[Date]],"mmm")</f>
        <v>Jan</v>
      </c>
    </row>
    <row r="615" spans="1:9" x14ac:dyDescent="0.3">
      <c r="A615" s="3" t="s">
        <v>649</v>
      </c>
      <c r="B615" s="3" t="s">
        <v>38</v>
      </c>
      <c r="C615" s="3" t="s">
        <v>39</v>
      </c>
      <c r="D615" s="3">
        <v>3</v>
      </c>
      <c r="E615" s="4">
        <v>6692.36</v>
      </c>
      <c r="F615" s="4">
        <f t="shared" si="9"/>
        <v>20077.079999999998</v>
      </c>
      <c r="G615" s="3" t="s">
        <v>26</v>
      </c>
      <c r="H615" s="5">
        <v>46085</v>
      </c>
      <c r="I615" s="3" t="str">
        <f>TEXT(Table1[[#This Row],[Date]],"mmm")</f>
        <v>Mar</v>
      </c>
    </row>
    <row r="616" spans="1:9" x14ac:dyDescent="0.3">
      <c r="A616" s="3" t="s">
        <v>650</v>
      </c>
      <c r="B616" s="3" t="s">
        <v>80</v>
      </c>
      <c r="C616" s="3" t="s">
        <v>39</v>
      </c>
      <c r="D616" s="3">
        <v>2</v>
      </c>
      <c r="E616" s="4">
        <v>4243.6000000000004</v>
      </c>
      <c r="F616" s="4">
        <f t="shared" si="9"/>
        <v>8487.2000000000007</v>
      </c>
      <c r="G616" s="3" t="s">
        <v>32</v>
      </c>
      <c r="H616" s="5">
        <v>46166</v>
      </c>
      <c r="I616" s="3" t="str">
        <f>TEXT(Table1[[#This Row],[Date]],"mmm")</f>
        <v>May</v>
      </c>
    </row>
    <row r="617" spans="1:9" x14ac:dyDescent="0.3">
      <c r="A617" s="3" t="s">
        <v>651</v>
      </c>
      <c r="B617" s="3" t="s">
        <v>28</v>
      </c>
      <c r="C617" s="3" t="s">
        <v>9</v>
      </c>
      <c r="D617" s="3">
        <v>4</v>
      </c>
      <c r="E617" s="4">
        <v>4730.91</v>
      </c>
      <c r="F617" s="4">
        <f t="shared" si="9"/>
        <v>18923.64</v>
      </c>
      <c r="G617" s="3" t="s">
        <v>48</v>
      </c>
      <c r="H617" s="5">
        <v>46184</v>
      </c>
      <c r="I617" s="3" t="str">
        <f>TEXT(Table1[[#This Row],[Date]],"mmm")</f>
        <v>Jun</v>
      </c>
    </row>
    <row r="618" spans="1:9" x14ac:dyDescent="0.3">
      <c r="A618" s="3" t="s">
        <v>652</v>
      </c>
      <c r="B618" s="3" t="s">
        <v>72</v>
      </c>
      <c r="C618" s="3" t="s">
        <v>13</v>
      </c>
      <c r="D618" s="3">
        <v>2</v>
      </c>
      <c r="E618" s="4">
        <v>2261.81</v>
      </c>
      <c r="F618" s="4">
        <f t="shared" si="9"/>
        <v>4523.62</v>
      </c>
      <c r="G618" s="3" t="s">
        <v>48</v>
      </c>
      <c r="H618" s="5">
        <v>46124</v>
      </c>
      <c r="I618" s="3" t="str">
        <f>TEXT(Table1[[#This Row],[Date]],"mmm")</f>
        <v>Apr</v>
      </c>
    </row>
    <row r="619" spans="1:9" x14ac:dyDescent="0.3">
      <c r="A619" s="3" t="s">
        <v>653</v>
      </c>
      <c r="B619" s="3" t="s">
        <v>91</v>
      </c>
      <c r="C619" s="3" t="s">
        <v>13</v>
      </c>
      <c r="D619" s="3">
        <v>5</v>
      </c>
      <c r="E619" s="4">
        <v>59214.07</v>
      </c>
      <c r="F619" s="4">
        <f t="shared" si="9"/>
        <v>296070.34999999998</v>
      </c>
      <c r="G619" s="3" t="s">
        <v>22</v>
      </c>
      <c r="H619" s="5">
        <v>46174</v>
      </c>
      <c r="I619" s="3" t="str">
        <f>TEXT(Table1[[#This Row],[Date]],"mmm")</f>
        <v>Jun</v>
      </c>
    </row>
    <row r="620" spans="1:9" x14ac:dyDescent="0.3">
      <c r="A620" s="3" t="s">
        <v>654</v>
      </c>
      <c r="B620" s="3" t="s">
        <v>28</v>
      </c>
      <c r="C620" s="3" t="s">
        <v>9</v>
      </c>
      <c r="D620" s="3">
        <v>4</v>
      </c>
      <c r="E620" s="4">
        <v>4503.55</v>
      </c>
      <c r="F620" s="4">
        <f t="shared" si="9"/>
        <v>18014.2</v>
      </c>
      <c r="G620" s="3" t="s">
        <v>29</v>
      </c>
      <c r="H620" s="5">
        <v>46075</v>
      </c>
      <c r="I620" s="3" t="str">
        <f>TEXT(Table1[[#This Row],[Date]],"mmm")</f>
        <v>Feb</v>
      </c>
    </row>
    <row r="621" spans="1:9" x14ac:dyDescent="0.3">
      <c r="A621" s="3" t="s">
        <v>655</v>
      </c>
      <c r="B621" s="3" t="s">
        <v>24</v>
      </c>
      <c r="C621" s="3" t="s">
        <v>25</v>
      </c>
      <c r="D621" s="3">
        <v>1</v>
      </c>
      <c r="E621" s="4">
        <v>811.36</v>
      </c>
      <c r="F621" s="4">
        <f t="shared" si="9"/>
        <v>811.36</v>
      </c>
      <c r="G621" s="3" t="s">
        <v>14</v>
      </c>
      <c r="H621" s="5">
        <v>46070</v>
      </c>
      <c r="I621" s="3" t="str">
        <f>TEXT(Table1[[#This Row],[Date]],"mmm")</f>
        <v>Feb</v>
      </c>
    </row>
    <row r="622" spans="1:9" x14ac:dyDescent="0.3">
      <c r="A622" s="3" t="s">
        <v>656</v>
      </c>
      <c r="B622" s="3" t="s">
        <v>55</v>
      </c>
      <c r="C622" s="3" t="s">
        <v>25</v>
      </c>
      <c r="D622" s="3">
        <v>3</v>
      </c>
      <c r="E622" s="4">
        <v>2347.6</v>
      </c>
      <c r="F622" s="4">
        <f t="shared" si="9"/>
        <v>7042.7999999999993</v>
      </c>
      <c r="G622" s="3" t="s">
        <v>18</v>
      </c>
      <c r="H622" s="5">
        <v>46090</v>
      </c>
      <c r="I622" s="3" t="str">
        <f>TEXT(Table1[[#This Row],[Date]],"mmm")</f>
        <v>Mar</v>
      </c>
    </row>
    <row r="623" spans="1:9" x14ac:dyDescent="0.3">
      <c r="A623" s="3" t="s">
        <v>657</v>
      </c>
      <c r="B623" s="3" t="s">
        <v>8</v>
      </c>
      <c r="C623" s="3" t="s">
        <v>9</v>
      </c>
      <c r="D623" s="3">
        <v>4</v>
      </c>
      <c r="E623" s="4">
        <v>1809.98</v>
      </c>
      <c r="F623" s="4">
        <f t="shared" si="9"/>
        <v>7239.92</v>
      </c>
      <c r="G623" s="3" t="s">
        <v>32</v>
      </c>
      <c r="H623" s="5">
        <v>46175</v>
      </c>
      <c r="I623" s="3" t="str">
        <f>TEXT(Table1[[#This Row],[Date]],"mmm")</f>
        <v>Jun</v>
      </c>
    </row>
    <row r="624" spans="1:9" x14ac:dyDescent="0.3">
      <c r="A624" s="3" t="s">
        <v>658</v>
      </c>
      <c r="B624" s="3" t="s">
        <v>28</v>
      </c>
      <c r="C624" s="3" t="s">
        <v>9</v>
      </c>
      <c r="D624" s="3">
        <v>5</v>
      </c>
      <c r="E624" s="4">
        <v>4891.57</v>
      </c>
      <c r="F624" s="4">
        <f t="shared" si="9"/>
        <v>24457.85</v>
      </c>
      <c r="G624" s="3" t="s">
        <v>18</v>
      </c>
      <c r="H624" s="5">
        <v>46112</v>
      </c>
      <c r="I624" s="3" t="str">
        <f>TEXT(Table1[[#This Row],[Date]],"mmm")</f>
        <v>Mar</v>
      </c>
    </row>
    <row r="625" spans="1:9" x14ac:dyDescent="0.3">
      <c r="A625" s="3" t="s">
        <v>659</v>
      </c>
      <c r="B625" s="3" t="s">
        <v>55</v>
      </c>
      <c r="C625" s="3" t="s">
        <v>25</v>
      </c>
      <c r="D625" s="3">
        <v>4</v>
      </c>
      <c r="E625" s="4">
        <v>2557.66</v>
      </c>
      <c r="F625" s="4">
        <f t="shared" si="9"/>
        <v>10230.64</v>
      </c>
      <c r="G625" s="3" t="s">
        <v>10</v>
      </c>
      <c r="H625" s="5">
        <v>46180</v>
      </c>
      <c r="I625" s="3" t="str">
        <f>TEXT(Table1[[#This Row],[Date]],"mmm")</f>
        <v>Jun</v>
      </c>
    </row>
    <row r="626" spans="1:9" x14ac:dyDescent="0.3">
      <c r="A626" s="3" t="s">
        <v>660</v>
      </c>
      <c r="B626" s="3" t="s">
        <v>16</v>
      </c>
      <c r="C626" s="3" t="s">
        <v>17</v>
      </c>
      <c r="D626" s="3">
        <v>1</v>
      </c>
      <c r="E626" s="4">
        <v>465.49</v>
      </c>
      <c r="F626" s="4">
        <f t="shared" si="9"/>
        <v>465.49</v>
      </c>
      <c r="G626" s="3" t="s">
        <v>32</v>
      </c>
      <c r="H626" s="5">
        <v>46053</v>
      </c>
      <c r="I626" s="3" t="str">
        <f>TEXT(Table1[[#This Row],[Date]],"mmm")</f>
        <v>Jan</v>
      </c>
    </row>
    <row r="627" spans="1:9" x14ac:dyDescent="0.3">
      <c r="A627" s="3" t="s">
        <v>661</v>
      </c>
      <c r="B627" s="3" t="s">
        <v>12</v>
      </c>
      <c r="C627" s="3" t="s">
        <v>13</v>
      </c>
      <c r="D627" s="3">
        <v>3</v>
      </c>
      <c r="E627" s="4">
        <v>1385.08</v>
      </c>
      <c r="F627" s="4">
        <f t="shared" si="9"/>
        <v>4155.24</v>
      </c>
      <c r="G627" s="3" t="s">
        <v>32</v>
      </c>
      <c r="H627" s="5">
        <v>46200</v>
      </c>
      <c r="I627" s="3" t="str">
        <f>TEXT(Table1[[#This Row],[Date]],"mmm")</f>
        <v>Jun</v>
      </c>
    </row>
    <row r="628" spans="1:9" x14ac:dyDescent="0.3">
      <c r="A628" s="3" t="s">
        <v>662</v>
      </c>
      <c r="B628" s="3" t="s">
        <v>72</v>
      </c>
      <c r="C628" s="3" t="s">
        <v>13</v>
      </c>
      <c r="D628" s="3">
        <v>5</v>
      </c>
      <c r="E628" s="4">
        <v>2150.92</v>
      </c>
      <c r="F628" s="4">
        <f t="shared" si="9"/>
        <v>10754.6</v>
      </c>
      <c r="G628" s="3" t="s">
        <v>50</v>
      </c>
      <c r="H628" s="5">
        <v>46058</v>
      </c>
      <c r="I628" s="3" t="str">
        <f>TEXT(Table1[[#This Row],[Date]],"mmm")</f>
        <v>Feb</v>
      </c>
    </row>
    <row r="629" spans="1:9" x14ac:dyDescent="0.3">
      <c r="A629" s="3" t="s">
        <v>663</v>
      </c>
      <c r="B629" s="3" t="s">
        <v>16</v>
      </c>
      <c r="C629" s="3" t="s">
        <v>17</v>
      </c>
      <c r="D629" s="3">
        <v>4</v>
      </c>
      <c r="E629" s="4">
        <v>443.07</v>
      </c>
      <c r="F629" s="4">
        <f t="shared" si="9"/>
        <v>1772.28</v>
      </c>
      <c r="G629" s="3" t="s">
        <v>22</v>
      </c>
      <c r="H629" s="5">
        <v>46185</v>
      </c>
      <c r="I629" s="3" t="str">
        <f>TEXT(Table1[[#This Row],[Date]],"mmm")</f>
        <v>Jun</v>
      </c>
    </row>
    <row r="630" spans="1:9" x14ac:dyDescent="0.3">
      <c r="A630" s="3" t="s">
        <v>664</v>
      </c>
      <c r="B630" s="3" t="s">
        <v>80</v>
      </c>
      <c r="C630" s="3" t="s">
        <v>39</v>
      </c>
      <c r="D630" s="3">
        <v>2</v>
      </c>
      <c r="E630" s="4">
        <v>4246.13</v>
      </c>
      <c r="F630" s="4">
        <f t="shared" si="9"/>
        <v>8492.26</v>
      </c>
      <c r="G630" s="3" t="s">
        <v>22</v>
      </c>
      <c r="H630" s="5">
        <v>46096</v>
      </c>
      <c r="I630" s="3" t="str">
        <f>TEXT(Table1[[#This Row],[Date]],"mmm")</f>
        <v>Mar</v>
      </c>
    </row>
    <row r="631" spans="1:9" x14ac:dyDescent="0.3">
      <c r="A631" s="3" t="s">
        <v>665</v>
      </c>
      <c r="B631" s="3" t="s">
        <v>72</v>
      </c>
      <c r="C631" s="3" t="s">
        <v>13</v>
      </c>
      <c r="D631" s="3">
        <v>2</v>
      </c>
      <c r="E631" s="4">
        <v>2118.42</v>
      </c>
      <c r="F631" s="4">
        <f t="shared" si="9"/>
        <v>4236.84</v>
      </c>
      <c r="G631" s="3" t="s">
        <v>22</v>
      </c>
      <c r="H631" s="5">
        <v>46181</v>
      </c>
      <c r="I631" s="3" t="str">
        <f>TEXT(Table1[[#This Row],[Date]],"mmm")</f>
        <v>Jun</v>
      </c>
    </row>
    <row r="632" spans="1:9" x14ac:dyDescent="0.3">
      <c r="A632" s="3" t="s">
        <v>666</v>
      </c>
      <c r="B632" s="3" t="s">
        <v>91</v>
      </c>
      <c r="C632" s="3" t="s">
        <v>13</v>
      </c>
      <c r="D632" s="3">
        <v>3</v>
      </c>
      <c r="E632" s="4">
        <v>59970.26</v>
      </c>
      <c r="F632" s="4">
        <f t="shared" si="9"/>
        <v>179910.78</v>
      </c>
      <c r="G632" s="3" t="s">
        <v>22</v>
      </c>
      <c r="H632" s="5">
        <v>46057</v>
      </c>
      <c r="I632" s="3" t="str">
        <f>TEXT(Table1[[#This Row],[Date]],"mmm")</f>
        <v>Feb</v>
      </c>
    </row>
    <row r="633" spans="1:9" x14ac:dyDescent="0.3">
      <c r="A633" s="3" t="s">
        <v>667</v>
      </c>
      <c r="B633" s="3" t="s">
        <v>12</v>
      </c>
      <c r="C633" s="3" t="s">
        <v>13</v>
      </c>
      <c r="D633" s="3">
        <v>4</v>
      </c>
      <c r="E633" s="4">
        <v>1639.15</v>
      </c>
      <c r="F633" s="4">
        <f t="shared" si="9"/>
        <v>6556.6</v>
      </c>
      <c r="G633" s="3" t="s">
        <v>14</v>
      </c>
      <c r="H633" s="5">
        <v>46190</v>
      </c>
      <c r="I633" s="3" t="str">
        <f>TEXT(Table1[[#This Row],[Date]],"mmm")</f>
        <v>Jun</v>
      </c>
    </row>
    <row r="634" spans="1:9" x14ac:dyDescent="0.3">
      <c r="A634" s="3" t="s">
        <v>668</v>
      </c>
      <c r="B634" s="3" t="s">
        <v>44</v>
      </c>
      <c r="C634" s="3" t="s">
        <v>39</v>
      </c>
      <c r="D634" s="3">
        <v>4</v>
      </c>
      <c r="E634" s="4">
        <v>3629.29</v>
      </c>
      <c r="F634" s="4">
        <f t="shared" si="9"/>
        <v>14517.16</v>
      </c>
      <c r="G634" s="3" t="s">
        <v>48</v>
      </c>
      <c r="H634" s="5">
        <v>46136</v>
      </c>
      <c r="I634" s="3" t="str">
        <f>TEXT(Table1[[#This Row],[Date]],"mmm")</f>
        <v>Apr</v>
      </c>
    </row>
    <row r="635" spans="1:9" x14ac:dyDescent="0.3">
      <c r="A635" s="3" t="s">
        <v>669</v>
      </c>
      <c r="B635" s="3" t="s">
        <v>44</v>
      </c>
      <c r="C635" s="3" t="s">
        <v>39</v>
      </c>
      <c r="D635" s="3">
        <v>2</v>
      </c>
      <c r="E635" s="4">
        <v>3207.87</v>
      </c>
      <c r="F635" s="4">
        <f t="shared" si="9"/>
        <v>6415.74</v>
      </c>
      <c r="G635" s="3" t="s">
        <v>46</v>
      </c>
      <c r="H635" s="5">
        <v>46079</v>
      </c>
      <c r="I635" s="3" t="str">
        <f>TEXT(Table1[[#This Row],[Date]],"mmm")</f>
        <v>Feb</v>
      </c>
    </row>
    <row r="636" spans="1:9" x14ac:dyDescent="0.3">
      <c r="A636" s="3" t="s">
        <v>670</v>
      </c>
      <c r="B636" s="3" t="s">
        <v>24</v>
      </c>
      <c r="C636" s="3" t="s">
        <v>25</v>
      </c>
      <c r="D636" s="3">
        <v>1</v>
      </c>
      <c r="E636" s="4">
        <v>763.02</v>
      </c>
      <c r="F636" s="4">
        <f t="shared" si="9"/>
        <v>763.02</v>
      </c>
      <c r="G636" s="3" t="s">
        <v>14</v>
      </c>
      <c r="H636" s="5">
        <v>46096</v>
      </c>
      <c r="I636" s="3" t="str">
        <f>TEXT(Table1[[#This Row],[Date]],"mmm")</f>
        <v>Mar</v>
      </c>
    </row>
    <row r="637" spans="1:9" x14ac:dyDescent="0.3">
      <c r="A637" s="3" t="s">
        <v>671</v>
      </c>
      <c r="B637" s="3" t="s">
        <v>72</v>
      </c>
      <c r="C637" s="3" t="s">
        <v>13</v>
      </c>
      <c r="D637" s="3">
        <v>4</v>
      </c>
      <c r="E637" s="4">
        <v>2228.89</v>
      </c>
      <c r="F637" s="4">
        <f t="shared" si="9"/>
        <v>8915.56</v>
      </c>
      <c r="G637" s="3" t="s">
        <v>22</v>
      </c>
      <c r="H637" s="5">
        <v>46163</v>
      </c>
      <c r="I637" s="3" t="str">
        <f>TEXT(Table1[[#This Row],[Date]],"mmm")</f>
        <v>May</v>
      </c>
    </row>
    <row r="638" spans="1:9" x14ac:dyDescent="0.3">
      <c r="A638" s="3" t="s">
        <v>672</v>
      </c>
      <c r="B638" s="3" t="s">
        <v>80</v>
      </c>
      <c r="C638" s="3" t="s">
        <v>39</v>
      </c>
      <c r="D638" s="3">
        <v>1</v>
      </c>
      <c r="E638" s="4">
        <v>4261.08</v>
      </c>
      <c r="F638" s="4">
        <f t="shared" si="9"/>
        <v>4261.08</v>
      </c>
      <c r="G638" s="3" t="s">
        <v>10</v>
      </c>
      <c r="H638" s="5">
        <v>46162</v>
      </c>
      <c r="I638" s="3" t="str">
        <f>TEXT(Table1[[#This Row],[Date]],"mmm")</f>
        <v>May</v>
      </c>
    </row>
    <row r="639" spans="1:9" x14ac:dyDescent="0.3">
      <c r="A639" s="3" t="s">
        <v>673</v>
      </c>
      <c r="B639" s="3" t="s">
        <v>38</v>
      </c>
      <c r="C639" s="3" t="s">
        <v>39</v>
      </c>
      <c r="D639" s="3">
        <v>3</v>
      </c>
      <c r="E639" s="4">
        <v>6554.66</v>
      </c>
      <c r="F639" s="4">
        <f t="shared" si="9"/>
        <v>19663.98</v>
      </c>
      <c r="G639" s="3" t="s">
        <v>46</v>
      </c>
      <c r="H639" s="5">
        <v>46135</v>
      </c>
      <c r="I639" s="3" t="str">
        <f>TEXT(Table1[[#This Row],[Date]],"mmm")</f>
        <v>Apr</v>
      </c>
    </row>
    <row r="640" spans="1:9" x14ac:dyDescent="0.3">
      <c r="A640" s="3" t="s">
        <v>674</v>
      </c>
      <c r="B640" s="3" t="s">
        <v>80</v>
      </c>
      <c r="C640" s="3" t="s">
        <v>39</v>
      </c>
      <c r="D640" s="3">
        <v>2</v>
      </c>
      <c r="E640" s="4">
        <v>4611.41</v>
      </c>
      <c r="F640" s="4">
        <f t="shared" si="9"/>
        <v>9222.82</v>
      </c>
      <c r="G640" s="3" t="s">
        <v>18</v>
      </c>
      <c r="H640" s="5">
        <v>46190</v>
      </c>
      <c r="I640" s="3" t="str">
        <f>TEXT(Table1[[#This Row],[Date]],"mmm")</f>
        <v>Jun</v>
      </c>
    </row>
    <row r="641" spans="1:9" x14ac:dyDescent="0.3">
      <c r="A641" s="3" t="s">
        <v>675</v>
      </c>
      <c r="B641" s="3" t="s">
        <v>62</v>
      </c>
      <c r="C641" s="3" t="s">
        <v>25</v>
      </c>
      <c r="D641" s="3">
        <v>2</v>
      </c>
      <c r="E641" s="4">
        <v>1918.12</v>
      </c>
      <c r="F641" s="4">
        <f t="shared" si="9"/>
        <v>3836.24</v>
      </c>
      <c r="G641" s="3" t="s">
        <v>46</v>
      </c>
      <c r="H641" s="5">
        <v>46138</v>
      </c>
      <c r="I641" s="3" t="str">
        <f>TEXT(Table1[[#This Row],[Date]],"mmm")</f>
        <v>Apr</v>
      </c>
    </row>
    <row r="642" spans="1:9" x14ac:dyDescent="0.3">
      <c r="A642" s="3" t="s">
        <v>676</v>
      </c>
      <c r="B642" s="3" t="s">
        <v>24</v>
      </c>
      <c r="C642" s="3" t="s">
        <v>25</v>
      </c>
      <c r="D642" s="3">
        <v>3</v>
      </c>
      <c r="E642" s="4">
        <v>856.88</v>
      </c>
      <c r="F642" s="4">
        <f t="shared" si="9"/>
        <v>2570.64</v>
      </c>
      <c r="G642" s="3" t="s">
        <v>18</v>
      </c>
      <c r="H642" s="5">
        <v>46135</v>
      </c>
      <c r="I642" s="3" t="str">
        <f>TEXT(Table1[[#This Row],[Date]],"mmm")</f>
        <v>Apr</v>
      </c>
    </row>
    <row r="643" spans="1:9" x14ac:dyDescent="0.3">
      <c r="A643" s="3" t="s">
        <v>677</v>
      </c>
      <c r="B643" s="3" t="s">
        <v>38</v>
      </c>
      <c r="C643" s="3" t="s">
        <v>39</v>
      </c>
      <c r="D643" s="3">
        <v>1</v>
      </c>
      <c r="E643" s="4">
        <v>6858.32</v>
      </c>
      <c r="F643" s="4">
        <f t="shared" ref="F643:F706" si="10">D643*E643</f>
        <v>6858.32</v>
      </c>
      <c r="G643" s="3" t="s">
        <v>29</v>
      </c>
      <c r="H643" s="5">
        <v>46076</v>
      </c>
      <c r="I643" s="3" t="str">
        <f>TEXT(Table1[[#This Row],[Date]],"mmm")</f>
        <v>Feb</v>
      </c>
    </row>
    <row r="644" spans="1:9" x14ac:dyDescent="0.3">
      <c r="A644" s="3" t="s">
        <v>678</v>
      </c>
      <c r="B644" s="3" t="s">
        <v>62</v>
      </c>
      <c r="C644" s="3" t="s">
        <v>25</v>
      </c>
      <c r="D644" s="3">
        <v>5</v>
      </c>
      <c r="E644" s="4">
        <v>2074.62</v>
      </c>
      <c r="F644" s="4">
        <f t="shared" si="10"/>
        <v>10373.099999999999</v>
      </c>
      <c r="G644" s="3" t="s">
        <v>50</v>
      </c>
      <c r="H644" s="5">
        <v>46184</v>
      </c>
      <c r="I644" s="3" t="str">
        <f>TEXT(Table1[[#This Row],[Date]],"mmm")</f>
        <v>Jun</v>
      </c>
    </row>
    <row r="645" spans="1:9" x14ac:dyDescent="0.3">
      <c r="A645" s="3" t="s">
        <v>679</v>
      </c>
      <c r="B645" s="3" t="s">
        <v>28</v>
      </c>
      <c r="C645" s="3" t="s">
        <v>9</v>
      </c>
      <c r="D645" s="3">
        <v>2</v>
      </c>
      <c r="E645" s="4">
        <v>5115.13</v>
      </c>
      <c r="F645" s="4">
        <f t="shared" si="10"/>
        <v>10230.26</v>
      </c>
      <c r="G645" s="3" t="s">
        <v>29</v>
      </c>
      <c r="H645" s="5">
        <v>46075</v>
      </c>
      <c r="I645" s="3" t="str">
        <f>TEXT(Table1[[#This Row],[Date]],"mmm")</f>
        <v>Feb</v>
      </c>
    </row>
    <row r="646" spans="1:9" x14ac:dyDescent="0.3">
      <c r="A646" s="3" t="s">
        <v>680</v>
      </c>
      <c r="B646" s="3" t="s">
        <v>62</v>
      </c>
      <c r="C646" s="3" t="s">
        <v>25</v>
      </c>
      <c r="D646" s="3">
        <v>1</v>
      </c>
      <c r="E646" s="4">
        <v>2027.02</v>
      </c>
      <c r="F646" s="4">
        <f t="shared" si="10"/>
        <v>2027.02</v>
      </c>
      <c r="G646" s="3" t="s">
        <v>14</v>
      </c>
      <c r="H646" s="5">
        <v>46094</v>
      </c>
      <c r="I646" s="3" t="str">
        <f>TEXT(Table1[[#This Row],[Date]],"mmm")</f>
        <v>Mar</v>
      </c>
    </row>
    <row r="647" spans="1:9" x14ac:dyDescent="0.3">
      <c r="A647" s="3" t="s">
        <v>681</v>
      </c>
      <c r="B647" s="3" t="s">
        <v>16</v>
      </c>
      <c r="C647" s="3" t="s">
        <v>17</v>
      </c>
      <c r="D647" s="3">
        <v>5</v>
      </c>
      <c r="E647" s="4">
        <v>420.15</v>
      </c>
      <c r="F647" s="4">
        <f t="shared" si="10"/>
        <v>2100.75</v>
      </c>
      <c r="G647" s="3" t="s">
        <v>10</v>
      </c>
      <c r="H647" s="5">
        <v>46097</v>
      </c>
      <c r="I647" s="3" t="str">
        <f>TEXT(Table1[[#This Row],[Date]],"mmm")</f>
        <v>Mar</v>
      </c>
    </row>
    <row r="648" spans="1:9" x14ac:dyDescent="0.3">
      <c r="A648" s="3" t="s">
        <v>682</v>
      </c>
      <c r="B648" s="3" t="s">
        <v>16</v>
      </c>
      <c r="C648" s="3" t="s">
        <v>17</v>
      </c>
      <c r="D648" s="3">
        <v>3</v>
      </c>
      <c r="E648" s="4">
        <v>490.72</v>
      </c>
      <c r="F648" s="4">
        <f t="shared" si="10"/>
        <v>1472.16</v>
      </c>
      <c r="G648" s="3" t="s">
        <v>14</v>
      </c>
      <c r="H648" s="5">
        <v>46196</v>
      </c>
      <c r="I648" s="3" t="str">
        <f>TEXT(Table1[[#This Row],[Date]],"mmm")</f>
        <v>Jun</v>
      </c>
    </row>
    <row r="649" spans="1:9" x14ac:dyDescent="0.3">
      <c r="A649" s="3" t="s">
        <v>683</v>
      </c>
      <c r="B649" s="3" t="s">
        <v>38</v>
      </c>
      <c r="C649" s="3" t="s">
        <v>39</v>
      </c>
      <c r="D649" s="3">
        <v>1</v>
      </c>
      <c r="E649" s="4">
        <v>6026.27</v>
      </c>
      <c r="F649" s="4">
        <f t="shared" si="10"/>
        <v>6026.27</v>
      </c>
      <c r="G649" s="3" t="s">
        <v>48</v>
      </c>
      <c r="H649" s="5">
        <v>46038</v>
      </c>
      <c r="I649" s="3" t="str">
        <f>TEXT(Table1[[#This Row],[Date]],"mmm")</f>
        <v>Jan</v>
      </c>
    </row>
    <row r="650" spans="1:9" x14ac:dyDescent="0.3">
      <c r="A650" s="3" t="s">
        <v>684</v>
      </c>
      <c r="B650" s="3" t="s">
        <v>24</v>
      </c>
      <c r="C650" s="3" t="s">
        <v>25</v>
      </c>
      <c r="D650" s="3">
        <v>2</v>
      </c>
      <c r="E650" s="4">
        <v>831.19</v>
      </c>
      <c r="F650" s="4">
        <f t="shared" si="10"/>
        <v>1662.38</v>
      </c>
      <c r="G650" s="3" t="s">
        <v>26</v>
      </c>
      <c r="H650" s="5">
        <v>46086</v>
      </c>
      <c r="I650" s="3" t="str">
        <f>TEXT(Table1[[#This Row],[Date]],"mmm")</f>
        <v>Mar</v>
      </c>
    </row>
    <row r="651" spans="1:9" x14ac:dyDescent="0.3">
      <c r="A651" s="3" t="s">
        <v>685</v>
      </c>
      <c r="B651" s="3" t="s">
        <v>72</v>
      </c>
      <c r="C651" s="3" t="s">
        <v>13</v>
      </c>
      <c r="D651" s="3">
        <v>3</v>
      </c>
      <c r="E651" s="4">
        <v>2344.5300000000002</v>
      </c>
      <c r="F651" s="4">
        <f t="shared" si="10"/>
        <v>7033.59</v>
      </c>
      <c r="G651" s="3" t="s">
        <v>48</v>
      </c>
      <c r="H651" s="5">
        <v>46148</v>
      </c>
      <c r="I651" s="3" t="str">
        <f>TEXT(Table1[[#This Row],[Date]],"mmm")</f>
        <v>May</v>
      </c>
    </row>
    <row r="652" spans="1:9" x14ac:dyDescent="0.3">
      <c r="A652" s="3" t="s">
        <v>686</v>
      </c>
      <c r="B652" s="3" t="s">
        <v>72</v>
      </c>
      <c r="C652" s="3" t="s">
        <v>13</v>
      </c>
      <c r="D652" s="3">
        <v>5</v>
      </c>
      <c r="E652" s="4">
        <v>2258.2600000000002</v>
      </c>
      <c r="F652" s="4">
        <f t="shared" si="10"/>
        <v>11291.300000000001</v>
      </c>
      <c r="G652" s="3" t="s">
        <v>48</v>
      </c>
      <c r="H652" s="5">
        <v>46119</v>
      </c>
      <c r="I652" s="3" t="str">
        <f>TEXT(Table1[[#This Row],[Date]],"mmm")</f>
        <v>Apr</v>
      </c>
    </row>
    <row r="653" spans="1:9" x14ac:dyDescent="0.3">
      <c r="A653" s="3" t="s">
        <v>687</v>
      </c>
      <c r="B653" s="3" t="s">
        <v>44</v>
      </c>
      <c r="C653" s="3" t="s">
        <v>39</v>
      </c>
      <c r="D653" s="3">
        <v>1</v>
      </c>
      <c r="E653" s="4">
        <v>3593.54</v>
      </c>
      <c r="F653" s="4">
        <f t="shared" si="10"/>
        <v>3593.54</v>
      </c>
      <c r="G653" s="3" t="s">
        <v>18</v>
      </c>
      <c r="H653" s="5">
        <v>46126</v>
      </c>
      <c r="I653" s="3" t="str">
        <f>TEXT(Table1[[#This Row],[Date]],"mmm")</f>
        <v>Apr</v>
      </c>
    </row>
    <row r="654" spans="1:9" x14ac:dyDescent="0.3">
      <c r="A654" s="3" t="s">
        <v>688</v>
      </c>
      <c r="B654" s="3" t="s">
        <v>80</v>
      </c>
      <c r="C654" s="3" t="s">
        <v>39</v>
      </c>
      <c r="D654" s="3">
        <v>3</v>
      </c>
      <c r="E654" s="4">
        <v>4363.55</v>
      </c>
      <c r="F654" s="4">
        <f t="shared" si="10"/>
        <v>13090.650000000001</v>
      </c>
      <c r="G654" s="3" t="s">
        <v>32</v>
      </c>
      <c r="H654" s="5">
        <v>46139</v>
      </c>
      <c r="I654" s="3" t="str">
        <f>TEXT(Table1[[#This Row],[Date]],"mmm")</f>
        <v>Apr</v>
      </c>
    </row>
    <row r="655" spans="1:9" x14ac:dyDescent="0.3">
      <c r="A655" s="3" t="s">
        <v>689</v>
      </c>
      <c r="B655" s="3" t="s">
        <v>44</v>
      </c>
      <c r="C655" s="3" t="s">
        <v>39</v>
      </c>
      <c r="D655" s="3">
        <v>3</v>
      </c>
      <c r="E655" s="4">
        <v>3557.37</v>
      </c>
      <c r="F655" s="4">
        <f t="shared" si="10"/>
        <v>10672.11</v>
      </c>
      <c r="G655" s="3" t="s">
        <v>18</v>
      </c>
      <c r="H655" s="5">
        <v>46140</v>
      </c>
      <c r="I655" s="3" t="str">
        <f>TEXT(Table1[[#This Row],[Date]],"mmm")</f>
        <v>Apr</v>
      </c>
    </row>
    <row r="656" spans="1:9" x14ac:dyDescent="0.3">
      <c r="A656" s="3" t="s">
        <v>690</v>
      </c>
      <c r="B656" s="3" t="s">
        <v>8</v>
      </c>
      <c r="C656" s="3" t="s">
        <v>9</v>
      </c>
      <c r="D656" s="3">
        <v>3</v>
      </c>
      <c r="E656" s="4">
        <v>1926.04</v>
      </c>
      <c r="F656" s="4">
        <f t="shared" si="10"/>
        <v>5778.12</v>
      </c>
      <c r="G656" s="3" t="s">
        <v>14</v>
      </c>
      <c r="H656" s="5">
        <v>46124</v>
      </c>
      <c r="I656" s="3" t="str">
        <f>TEXT(Table1[[#This Row],[Date]],"mmm")</f>
        <v>Apr</v>
      </c>
    </row>
    <row r="657" spans="1:9" x14ac:dyDescent="0.3">
      <c r="A657" s="3" t="s">
        <v>691</v>
      </c>
      <c r="B657" s="3" t="s">
        <v>12</v>
      </c>
      <c r="C657" s="3" t="s">
        <v>13</v>
      </c>
      <c r="D657" s="3">
        <v>4</v>
      </c>
      <c r="E657" s="4">
        <v>1597.45</v>
      </c>
      <c r="F657" s="4">
        <f t="shared" si="10"/>
        <v>6389.8</v>
      </c>
      <c r="G657" s="3" t="s">
        <v>22</v>
      </c>
      <c r="H657" s="5">
        <v>46091</v>
      </c>
      <c r="I657" s="3" t="str">
        <f>TEXT(Table1[[#This Row],[Date]],"mmm")</f>
        <v>Mar</v>
      </c>
    </row>
    <row r="658" spans="1:9" x14ac:dyDescent="0.3">
      <c r="A658" s="3" t="s">
        <v>692</v>
      </c>
      <c r="B658" s="3" t="s">
        <v>55</v>
      </c>
      <c r="C658" s="3" t="s">
        <v>25</v>
      </c>
      <c r="D658" s="3">
        <v>3</v>
      </c>
      <c r="E658" s="4">
        <v>2417.91</v>
      </c>
      <c r="F658" s="4">
        <f t="shared" si="10"/>
        <v>7253.73</v>
      </c>
      <c r="G658" s="3" t="s">
        <v>50</v>
      </c>
      <c r="H658" s="5">
        <v>46056</v>
      </c>
      <c r="I658" s="3" t="str">
        <f>TEXT(Table1[[#This Row],[Date]],"mmm")</f>
        <v>Feb</v>
      </c>
    </row>
    <row r="659" spans="1:9" x14ac:dyDescent="0.3">
      <c r="A659" s="3" t="s">
        <v>693</v>
      </c>
      <c r="B659" s="3" t="s">
        <v>16</v>
      </c>
      <c r="C659" s="3" t="s">
        <v>17</v>
      </c>
      <c r="D659" s="3">
        <v>4</v>
      </c>
      <c r="E659" s="4">
        <v>475.95</v>
      </c>
      <c r="F659" s="4">
        <f t="shared" si="10"/>
        <v>1903.8</v>
      </c>
      <c r="G659" s="3" t="s">
        <v>46</v>
      </c>
      <c r="H659" s="5">
        <v>46034</v>
      </c>
      <c r="I659" s="3" t="str">
        <f>TEXT(Table1[[#This Row],[Date]],"mmm")</f>
        <v>Jan</v>
      </c>
    </row>
    <row r="660" spans="1:9" x14ac:dyDescent="0.3">
      <c r="A660" s="3" t="s">
        <v>694</v>
      </c>
      <c r="B660" s="3" t="s">
        <v>31</v>
      </c>
      <c r="C660" s="3" t="s">
        <v>13</v>
      </c>
      <c r="D660" s="3">
        <v>4</v>
      </c>
      <c r="E660" s="4">
        <v>16258.61</v>
      </c>
      <c r="F660" s="4">
        <f t="shared" si="10"/>
        <v>65034.44</v>
      </c>
      <c r="G660" s="3" t="s">
        <v>26</v>
      </c>
      <c r="H660" s="5">
        <v>46135</v>
      </c>
      <c r="I660" s="3" t="str">
        <f>TEXT(Table1[[#This Row],[Date]],"mmm")</f>
        <v>Apr</v>
      </c>
    </row>
    <row r="661" spans="1:9" x14ac:dyDescent="0.3">
      <c r="A661" s="3" t="s">
        <v>695</v>
      </c>
      <c r="B661" s="3" t="s">
        <v>44</v>
      </c>
      <c r="C661" s="3" t="s">
        <v>39</v>
      </c>
      <c r="D661" s="3">
        <v>1</v>
      </c>
      <c r="E661" s="4">
        <v>3844.29</v>
      </c>
      <c r="F661" s="4">
        <f t="shared" si="10"/>
        <v>3844.29</v>
      </c>
      <c r="G661" s="3" t="s">
        <v>48</v>
      </c>
      <c r="H661" s="5">
        <v>46074</v>
      </c>
      <c r="I661" s="3" t="str">
        <f>TEXT(Table1[[#This Row],[Date]],"mmm")</f>
        <v>Feb</v>
      </c>
    </row>
    <row r="662" spans="1:9" x14ac:dyDescent="0.3">
      <c r="A662" s="3" t="s">
        <v>696</v>
      </c>
      <c r="B662" s="3" t="s">
        <v>21</v>
      </c>
      <c r="C662" s="3" t="s">
        <v>13</v>
      </c>
      <c r="D662" s="3">
        <v>2</v>
      </c>
      <c r="E662" s="4">
        <v>30140.03</v>
      </c>
      <c r="F662" s="4">
        <f t="shared" si="10"/>
        <v>60280.06</v>
      </c>
      <c r="G662" s="3" t="s">
        <v>10</v>
      </c>
      <c r="H662" s="5">
        <v>46063</v>
      </c>
      <c r="I662" s="3" t="str">
        <f>TEXT(Table1[[#This Row],[Date]],"mmm")</f>
        <v>Feb</v>
      </c>
    </row>
    <row r="663" spans="1:9" x14ac:dyDescent="0.3">
      <c r="A663" s="3" t="s">
        <v>697</v>
      </c>
      <c r="B663" s="3" t="s">
        <v>38</v>
      </c>
      <c r="C663" s="3" t="s">
        <v>39</v>
      </c>
      <c r="D663" s="3">
        <v>3</v>
      </c>
      <c r="E663" s="4">
        <v>5971.34</v>
      </c>
      <c r="F663" s="4">
        <f t="shared" si="10"/>
        <v>17914.02</v>
      </c>
      <c r="G663" s="3" t="s">
        <v>32</v>
      </c>
      <c r="H663" s="5">
        <v>46087</v>
      </c>
      <c r="I663" s="3" t="str">
        <f>TEXT(Table1[[#This Row],[Date]],"mmm")</f>
        <v>Mar</v>
      </c>
    </row>
    <row r="664" spans="1:9" x14ac:dyDescent="0.3">
      <c r="A664" s="3" t="s">
        <v>698</v>
      </c>
      <c r="B664" s="3" t="s">
        <v>31</v>
      </c>
      <c r="C664" s="3" t="s">
        <v>13</v>
      </c>
      <c r="D664" s="3">
        <v>3</v>
      </c>
      <c r="E664" s="4">
        <v>18592.23</v>
      </c>
      <c r="F664" s="4">
        <f t="shared" si="10"/>
        <v>55776.69</v>
      </c>
      <c r="G664" s="3" t="s">
        <v>26</v>
      </c>
      <c r="H664" s="5">
        <v>46036</v>
      </c>
      <c r="I664" s="3" t="str">
        <f>TEXT(Table1[[#This Row],[Date]],"mmm")</f>
        <v>Jan</v>
      </c>
    </row>
    <row r="665" spans="1:9" x14ac:dyDescent="0.3">
      <c r="A665" s="3" t="s">
        <v>699</v>
      </c>
      <c r="B665" s="3" t="s">
        <v>28</v>
      </c>
      <c r="C665" s="3" t="s">
        <v>9</v>
      </c>
      <c r="D665" s="3">
        <v>3</v>
      </c>
      <c r="E665" s="4">
        <v>5224.9399999999996</v>
      </c>
      <c r="F665" s="4">
        <f t="shared" si="10"/>
        <v>15674.82</v>
      </c>
      <c r="G665" s="3" t="s">
        <v>29</v>
      </c>
      <c r="H665" s="5">
        <v>46132</v>
      </c>
      <c r="I665" s="3" t="str">
        <f>TEXT(Table1[[#This Row],[Date]],"mmm")</f>
        <v>Apr</v>
      </c>
    </row>
    <row r="666" spans="1:9" x14ac:dyDescent="0.3">
      <c r="A666" s="3" t="s">
        <v>700</v>
      </c>
      <c r="B666" s="3" t="s">
        <v>8</v>
      </c>
      <c r="C666" s="3" t="s">
        <v>9</v>
      </c>
      <c r="D666" s="3">
        <v>1</v>
      </c>
      <c r="E666" s="4">
        <v>1873.33</v>
      </c>
      <c r="F666" s="4">
        <f t="shared" si="10"/>
        <v>1873.33</v>
      </c>
      <c r="G666" s="3" t="s">
        <v>46</v>
      </c>
      <c r="H666" s="5">
        <v>46077</v>
      </c>
      <c r="I666" s="3" t="str">
        <f>TEXT(Table1[[#This Row],[Date]],"mmm")</f>
        <v>Feb</v>
      </c>
    </row>
    <row r="667" spans="1:9" x14ac:dyDescent="0.3">
      <c r="A667" s="3" t="s">
        <v>701</v>
      </c>
      <c r="B667" s="3" t="s">
        <v>44</v>
      </c>
      <c r="C667" s="3" t="s">
        <v>39</v>
      </c>
      <c r="D667" s="3">
        <v>1</v>
      </c>
      <c r="E667" s="4">
        <v>3242.89</v>
      </c>
      <c r="F667" s="4">
        <f t="shared" si="10"/>
        <v>3242.89</v>
      </c>
      <c r="G667" s="3" t="s">
        <v>29</v>
      </c>
      <c r="H667" s="5">
        <v>46155</v>
      </c>
      <c r="I667" s="3" t="str">
        <f>TEXT(Table1[[#This Row],[Date]],"mmm")</f>
        <v>May</v>
      </c>
    </row>
    <row r="668" spans="1:9" x14ac:dyDescent="0.3">
      <c r="A668" s="3" t="s">
        <v>702</v>
      </c>
      <c r="B668" s="3" t="s">
        <v>8</v>
      </c>
      <c r="C668" s="3" t="s">
        <v>9</v>
      </c>
      <c r="D668" s="3">
        <v>4</v>
      </c>
      <c r="E668" s="4">
        <v>1623.34</v>
      </c>
      <c r="F668" s="4">
        <f t="shared" si="10"/>
        <v>6493.36</v>
      </c>
      <c r="G668" s="3" t="s">
        <v>32</v>
      </c>
      <c r="H668" s="5">
        <v>46053</v>
      </c>
      <c r="I668" s="3" t="str">
        <f>TEXT(Table1[[#This Row],[Date]],"mmm")</f>
        <v>Jan</v>
      </c>
    </row>
    <row r="669" spans="1:9" x14ac:dyDescent="0.3">
      <c r="A669" s="3" t="s">
        <v>703</v>
      </c>
      <c r="B669" s="3" t="s">
        <v>38</v>
      </c>
      <c r="C669" s="3" t="s">
        <v>39</v>
      </c>
      <c r="D669" s="3">
        <v>4</v>
      </c>
      <c r="E669" s="4">
        <v>6752.24</v>
      </c>
      <c r="F669" s="4">
        <f t="shared" si="10"/>
        <v>27008.959999999999</v>
      </c>
      <c r="G669" s="3" t="s">
        <v>22</v>
      </c>
      <c r="H669" s="5">
        <v>46041</v>
      </c>
      <c r="I669" s="3" t="str">
        <f>TEXT(Table1[[#This Row],[Date]],"mmm")</f>
        <v>Jan</v>
      </c>
    </row>
    <row r="670" spans="1:9" x14ac:dyDescent="0.3">
      <c r="A670" s="3" t="s">
        <v>704</v>
      </c>
      <c r="B670" s="3" t="s">
        <v>12</v>
      </c>
      <c r="C670" s="3" t="s">
        <v>13</v>
      </c>
      <c r="D670" s="3">
        <v>4</v>
      </c>
      <c r="E670" s="4">
        <v>1376.8</v>
      </c>
      <c r="F670" s="4">
        <f t="shared" si="10"/>
        <v>5507.2</v>
      </c>
      <c r="G670" s="3" t="s">
        <v>18</v>
      </c>
      <c r="H670" s="5">
        <v>46049</v>
      </c>
      <c r="I670" s="3" t="str">
        <f>TEXT(Table1[[#This Row],[Date]],"mmm")</f>
        <v>Jan</v>
      </c>
    </row>
    <row r="671" spans="1:9" x14ac:dyDescent="0.3">
      <c r="A671" s="3" t="s">
        <v>705</v>
      </c>
      <c r="B671" s="3" t="s">
        <v>55</v>
      </c>
      <c r="C671" s="3" t="s">
        <v>25</v>
      </c>
      <c r="D671" s="3">
        <v>3</v>
      </c>
      <c r="E671" s="4">
        <v>2689.42</v>
      </c>
      <c r="F671" s="4">
        <f t="shared" si="10"/>
        <v>8068.26</v>
      </c>
      <c r="G671" s="3" t="s">
        <v>26</v>
      </c>
      <c r="H671" s="5">
        <v>46120</v>
      </c>
      <c r="I671" s="3" t="str">
        <f>TEXT(Table1[[#This Row],[Date]],"mmm")</f>
        <v>Apr</v>
      </c>
    </row>
    <row r="672" spans="1:9" x14ac:dyDescent="0.3">
      <c r="A672" s="3" t="s">
        <v>706</v>
      </c>
      <c r="B672" s="3" t="s">
        <v>62</v>
      </c>
      <c r="C672" s="3" t="s">
        <v>25</v>
      </c>
      <c r="D672" s="3">
        <v>2</v>
      </c>
      <c r="E672" s="4">
        <v>2055.6</v>
      </c>
      <c r="F672" s="4">
        <f t="shared" si="10"/>
        <v>4111.2</v>
      </c>
      <c r="G672" s="3" t="s">
        <v>26</v>
      </c>
      <c r="H672" s="5">
        <v>46040</v>
      </c>
      <c r="I672" s="3" t="str">
        <f>TEXT(Table1[[#This Row],[Date]],"mmm")</f>
        <v>Jan</v>
      </c>
    </row>
    <row r="673" spans="1:9" x14ac:dyDescent="0.3">
      <c r="A673" s="3" t="s">
        <v>707</v>
      </c>
      <c r="B673" s="3" t="s">
        <v>80</v>
      </c>
      <c r="C673" s="3" t="s">
        <v>39</v>
      </c>
      <c r="D673" s="3">
        <v>5</v>
      </c>
      <c r="E673" s="4">
        <v>3787.12</v>
      </c>
      <c r="F673" s="4">
        <f t="shared" si="10"/>
        <v>18935.599999999999</v>
      </c>
      <c r="G673" s="3" t="s">
        <v>26</v>
      </c>
      <c r="H673" s="5">
        <v>46135</v>
      </c>
      <c r="I673" s="3" t="str">
        <f>TEXT(Table1[[#This Row],[Date]],"mmm")</f>
        <v>Apr</v>
      </c>
    </row>
    <row r="674" spans="1:9" x14ac:dyDescent="0.3">
      <c r="A674" s="3" t="s">
        <v>708</v>
      </c>
      <c r="B674" s="3" t="s">
        <v>55</v>
      </c>
      <c r="C674" s="3" t="s">
        <v>25</v>
      </c>
      <c r="D674" s="3">
        <v>2</v>
      </c>
      <c r="E674" s="4">
        <v>2563.0100000000002</v>
      </c>
      <c r="F674" s="4">
        <f t="shared" si="10"/>
        <v>5126.0200000000004</v>
      </c>
      <c r="G674" s="3" t="s">
        <v>26</v>
      </c>
      <c r="H674" s="5">
        <v>46128</v>
      </c>
      <c r="I674" s="3" t="str">
        <f>TEXT(Table1[[#This Row],[Date]],"mmm")</f>
        <v>Apr</v>
      </c>
    </row>
    <row r="675" spans="1:9" x14ac:dyDescent="0.3">
      <c r="A675" s="3" t="s">
        <v>709</v>
      </c>
      <c r="B675" s="3" t="s">
        <v>16</v>
      </c>
      <c r="C675" s="3" t="s">
        <v>17</v>
      </c>
      <c r="D675" s="3">
        <v>4</v>
      </c>
      <c r="E675" s="4">
        <v>482.4</v>
      </c>
      <c r="F675" s="4">
        <f t="shared" si="10"/>
        <v>1929.6</v>
      </c>
      <c r="G675" s="3" t="s">
        <v>18</v>
      </c>
      <c r="H675" s="5">
        <v>46048</v>
      </c>
      <c r="I675" s="3" t="str">
        <f>TEXT(Table1[[#This Row],[Date]],"mmm")</f>
        <v>Jan</v>
      </c>
    </row>
    <row r="676" spans="1:9" x14ac:dyDescent="0.3">
      <c r="A676" s="3" t="s">
        <v>710</v>
      </c>
      <c r="B676" s="3" t="s">
        <v>72</v>
      </c>
      <c r="C676" s="3" t="s">
        <v>13</v>
      </c>
      <c r="D676" s="3">
        <v>1</v>
      </c>
      <c r="E676" s="4">
        <v>2239.41</v>
      </c>
      <c r="F676" s="4">
        <f t="shared" si="10"/>
        <v>2239.41</v>
      </c>
      <c r="G676" s="3" t="s">
        <v>48</v>
      </c>
      <c r="H676" s="5">
        <v>46112</v>
      </c>
      <c r="I676" s="3" t="str">
        <f>TEXT(Table1[[#This Row],[Date]],"mmm")</f>
        <v>Mar</v>
      </c>
    </row>
    <row r="677" spans="1:9" x14ac:dyDescent="0.3">
      <c r="A677" s="3" t="s">
        <v>711</v>
      </c>
      <c r="B677" s="3" t="s">
        <v>28</v>
      </c>
      <c r="C677" s="3" t="s">
        <v>9</v>
      </c>
      <c r="D677" s="3">
        <v>3</v>
      </c>
      <c r="E677" s="4">
        <v>5290.02</v>
      </c>
      <c r="F677" s="4">
        <f t="shared" si="10"/>
        <v>15870.060000000001</v>
      </c>
      <c r="G677" s="3" t="s">
        <v>29</v>
      </c>
      <c r="H677" s="5">
        <v>46093</v>
      </c>
      <c r="I677" s="3" t="str">
        <f>TEXT(Table1[[#This Row],[Date]],"mmm")</f>
        <v>Mar</v>
      </c>
    </row>
    <row r="678" spans="1:9" x14ac:dyDescent="0.3">
      <c r="A678" s="3" t="s">
        <v>712</v>
      </c>
      <c r="B678" s="3" t="s">
        <v>8</v>
      </c>
      <c r="C678" s="3" t="s">
        <v>9</v>
      </c>
      <c r="D678" s="3">
        <v>1</v>
      </c>
      <c r="E678" s="4">
        <v>1709.34</v>
      </c>
      <c r="F678" s="4">
        <f t="shared" si="10"/>
        <v>1709.34</v>
      </c>
      <c r="G678" s="3" t="s">
        <v>50</v>
      </c>
      <c r="H678" s="5">
        <v>46176</v>
      </c>
      <c r="I678" s="3" t="str">
        <f>TEXT(Table1[[#This Row],[Date]],"mmm")</f>
        <v>Jun</v>
      </c>
    </row>
    <row r="679" spans="1:9" x14ac:dyDescent="0.3">
      <c r="A679" s="3" t="s">
        <v>713</v>
      </c>
      <c r="B679" s="3" t="s">
        <v>21</v>
      </c>
      <c r="C679" s="3" t="s">
        <v>13</v>
      </c>
      <c r="D679" s="3">
        <v>5</v>
      </c>
      <c r="E679" s="4">
        <v>26795.56</v>
      </c>
      <c r="F679" s="4">
        <f t="shared" si="10"/>
        <v>133977.80000000002</v>
      </c>
      <c r="G679" s="3" t="s">
        <v>46</v>
      </c>
      <c r="H679" s="5">
        <v>46191</v>
      </c>
      <c r="I679" s="3" t="str">
        <f>TEXT(Table1[[#This Row],[Date]],"mmm")</f>
        <v>Jun</v>
      </c>
    </row>
    <row r="680" spans="1:9" x14ac:dyDescent="0.3">
      <c r="A680" s="3" t="s">
        <v>714</v>
      </c>
      <c r="B680" s="3" t="s">
        <v>24</v>
      </c>
      <c r="C680" s="3" t="s">
        <v>25</v>
      </c>
      <c r="D680" s="3">
        <v>2</v>
      </c>
      <c r="E680" s="4">
        <v>801.84</v>
      </c>
      <c r="F680" s="4">
        <f t="shared" si="10"/>
        <v>1603.68</v>
      </c>
      <c r="G680" s="3" t="s">
        <v>14</v>
      </c>
      <c r="H680" s="5">
        <v>46071</v>
      </c>
      <c r="I680" s="3" t="str">
        <f>TEXT(Table1[[#This Row],[Date]],"mmm")</f>
        <v>Feb</v>
      </c>
    </row>
    <row r="681" spans="1:9" x14ac:dyDescent="0.3">
      <c r="A681" s="3" t="s">
        <v>715</v>
      </c>
      <c r="B681" s="3" t="s">
        <v>21</v>
      </c>
      <c r="C681" s="3" t="s">
        <v>13</v>
      </c>
      <c r="D681" s="3">
        <v>4</v>
      </c>
      <c r="E681" s="4">
        <v>26855.040000000001</v>
      </c>
      <c r="F681" s="4">
        <f t="shared" si="10"/>
        <v>107420.16</v>
      </c>
      <c r="G681" s="3" t="s">
        <v>46</v>
      </c>
      <c r="H681" s="5">
        <v>46084</v>
      </c>
      <c r="I681" s="3" t="str">
        <f>TEXT(Table1[[#This Row],[Date]],"mmm")</f>
        <v>Mar</v>
      </c>
    </row>
    <row r="682" spans="1:9" x14ac:dyDescent="0.3">
      <c r="A682" s="3" t="s">
        <v>716</v>
      </c>
      <c r="B682" s="3" t="s">
        <v>44</v>
      </c>
      <c r="C682" s="3" t="s">
        <v>39</v>
      </c>
      <c r="D682" s="3">
        <v>4</v>
      </c>
      <c r="E682" s="4">
        <v>3228.92</v>
      </c>
      <c r="F682" s="4">
        <f t="shared" si="10"/>
        <v>12915.68</v>
      </c>
      <c r="G682" s="3" t="s">
        <v>22</v>
      </c>
      <c r="H682" s="5">
        <v>46186</v>
      </c>
      <c r="I682" s="3" t="str">
        <f>TEXT(Table1[[#This Row],[Date]],"mmm")</f>
        <v>Jun</v>
      </c>
    </row>
    <row r="683" spans="1:9" x14ac:dyDescent="0.3">
      <c r="A683" s="3" t="s">
        <v>717</v>
      </c>
      <c r="B683" s="3" t="s">
        <v>16</v>
      </c>
      <c r="C683" s="3" t="s">
        <v>17</v>
      </c>
      <c r="D683" s="3">
        <v>1</v>
      </c>
      <c r="E683" s="4">
        <v>452.55</v>
      </c>
      <c r="F683" s="4">
        <f t="shared" si="10"/>
        <v>452.55</v>
      </c>
      <c r="G683" s="3" t="s">
        <v>46</v>
      </c>
      <c r="H683" s="5">
        <v>46115</v>
      </c>
      <c r="I683" s="3" t="str">
        <f>TEXT(Table1[[#This Row],[Date]],"mmm")</f>
        <v>Apr</v>
      </c>
    </row>
    <row r="684" spans="1:9" x14ac:dyDescent="0.3">
      <c r="A684" s="3" t="s">
        <v>718</v>
      </c>
      <c r="B684" s="3" t="s">
        <v>55</v>
      </c>
      <c r="C684" s="3" t="s">
        <v>25</v>
      </c>
      <c r="D684" s="3">
        <v>2</v>
      </c>
      <c r="E684" s="4">
        <v>2442.44</v>
      </c>
      <c r="F684" s="4">
        <f t="shared" si="10"/>
        <v>4884.88</v>
      </c>
      <c r="G684" s="3" t="s">
        <v>50</v>
      </c>
      <c r="H684" s="5">
        <v>46130</v>
      </c>
      <c r="I684" s="3" t="str">
        <f>TEXT(Table1[[#This Row],[Date]],"mmm")</f>
        <v>Apr</v>
      </c>
    </row>
    <row r="685" spans="1:9" x14ac:dyDescent="0.3">
      <c r="A685" s="3" t="s">
        <v>719</v>
      </c>
      <c r="B685" s="3" t="s">
        <v>55</v>
      </c>
      <c r="C685" s="3" t="s">
        <v>25</v>
      </c>
      <c r="D685" s="3">
        <v>5</v>
      </c>
      <c r="E685" s="4">
        <v>2590.4299999999998</v>
      </c>
      <c r="F685" s="4">
        <f t="shared" si="10"/>
        <v>12952.15</v>
      </c>
      <c r="G685" s="3" t="s">
        <v>22</v>
      </c>
      <c r="H685" s="5">
        <v>46041</v>
      </c>
      <c r="I685" s="3" t="str">
        <f>TEXT(Table1[[#This Row],[Date]],"mmm")</f>
        <v>Jan</v>
      </c>
    </row>
    <row r="686" spans="1:9" x14ac:dyDescent="0.3">
      <c r="A686" s="3" t="s">
        <v>720</v>
      </c>
      <c r="B686" s="3" t="s">
        <v>91</v>
      </c>
      <c r="C686" s="3" t="s">
        <v>13</v>
      </c>
      <c r="D686" s="3">
        <v>5</v>
      </c>
      <c r="E686" s="4">
        <v>50242.86</v>
      </c>
      <c r="F686" s="4">
        <f t="shared" si="10"/>
        <v>251214.3</v>
      </c>
      <c r="G686" s="3" t="s">
        <v>10</v>
      </c>
      <c r="H686" s="5">
        <v>46078</v>
      </c>
      <c r="I686" s="3" t="str">
        <f>TEXT(Table1[[#This Row],[Date]],"mmm")</f>
        <v>Feb</v>
      </c>
    </row>
    <row r="687" spans="1:9" x14ac:dyDescent="0.3">
      <c r="A687" s="3" t="s">
        <v>721</v>
      </c>
      <c r="B687" s="3" t="s">
        <v>91</v>
      </c>
      <c r="C687" s="3" t="s">
        <v>13</v>
      </c>
      <c r="D687" s="3">
        <v>1</v>
      </c>
      <c r="E687" s="4">
        <v>59935.48</v>
      </c>
      <c r="F687" s="4">
        <f t="shared" si="10"/>
        <v>59935.48</v>
      </c>
      <c r="G687" s="3" t="s">
        <v>48</v>
      </c>
      <c r="H687" s="5">
        <v>46152</v>
      </c>
      <c r="I687" s="3" t="str">
        <f>TEXT(Table1[[#This Row],[Date]],"mmm")</f>
        <v>May</v>
      </c>
    </row>
    <row r="688" spans="1:9" x14ac:dyDescent="0.3">
      <c r="A688" s="3" t="s">
        <v>722</v>
      </c>
      <c r="B688" s="3" t="s">
        <v>24</v>
      </c>
      <c r="C688" s="3" t="s">
        <v>25</v>
      </c>
      <c r="D688" s="3">
        <v>5</v>
      </c>
      <c r="E688" s="4">
        <v>841.68</v>
      </c>
      <c r="F688" s="4">
        <f t="shared" si="10"/>
        <v>4208.3999999999996</v>
      </c>
      <c r="G688" s="3" t="s">
        <v>48</v>
      </c>
      <c r="H688" s="5">
        <v>46202</v>
      </c>
      <c r="I688" s="3" t="str">
        <f>TEXT(Table1[[#This Row],[Date]],"mmm")</f>
        <v>Jun</v>
      </c>
    </row>
    <row r="689" spans="1:9" x14ac:dyDescent="0.3">
      <c r="A689" s="3" t="s">
        <v>723</v>
      </c>
      <c r="B689" s="3" t="s">
        <v>28</v>
      </c>
      <c r="C689" s="3" t="s">
        <v>9</v>
      </c>
      <c r="D689" s="3">
        <v>1</v>
      </c>
      <c r="E689" s="4">
        <v>5139.51</v>
      </c>
      <c r="F689" s="4">
        <f t="shared" si="10"/>
        <v>5139.51</v>
      </c>
      <c r="G689" s="3" t="s">
        <v>14</v>
      </c>
      <c r="H689" s="5">
        <v>46180</v>
      </c>
      <c r="I689" s="3" t="str">
        <f>TEXT(Table1[[#This Row],[Date]],"mmm")</f>
        <v>Jun</v>
      </c>
    </row>
    <row r="690" spans="1:9" x14ac:dyDescent="0.3">
      <c r="A690" s="3" t="s">
        <v>724</v>
      </c>
      <c r="B690" s="3" t="s">
        <v>72</v>
      </c>
      <c r="C690" s="3" t="s">
        <v>13</v>
      </c>
      <c r="D690" s="3">
        <v>3</v>
      </c>
      <c r="E690" s="4">
        <v>2016.78</v>
      </c>
      <c r="F690" s="4">
        <f t="shared" si="10"/>
        <v>6050.34</v>
      </c>
      <c r="G690" s="3" t="s">
        <v>18</v>
      </c>
      <c r="H690" s="5">
        <v>46153</v>
      </c>
      <c r="I690" s="3" t="str">
        <f>TEXT(Table1[[#This Row],[Date]],"mmm")</f>
        <v>May</v>
      </c>
    </row>
    <row r="691" spans="1:9" x14ac:dyDescent="0.3">
      <c r="A691" s="3" t="s">
        <v>725</v>
      </c>
      <c r="B691" s="3" t="s">
        <v>12</v>
      </c>
      <c r="C691" s="3" t="s">
        <v>13</v>
      </c>
      <c r="D691" s="3">
        <v>2</v>
      </c>
      <c r="E691" s="4">
        <v>1510.92</v>
      </c>
      <c r="F691" s="4">
        <f t="shared" si="10"/>
        <v>3021.84</v>
      </c>
      <c r="G691" s="3" t="s">
        <v>48</v>
      </c>
      <c r="H691" s="5">
        <v>46173</v>
      </c>
      <c r="I691" s="3" t="str">
        <f>TEXT(Table1[[#This Row],[Date]],"mmm")</f>
        <v>May</v>
      </c>
    </row>
    <row r="692" spans="1:9" x14ac:dyDescent="0.3">
      <c r="A692" s="3" t="s">
        <v>726</v>
      </c>
      <c r="B692" s="3" t="s">
        <v>8</v>
      </c>
      <c r="C692" s="3" t="s">
        <v>9</v>
      </c>
      <c r="D692" s="3">
        <v>1</v>
      </c>
      <c r="E692" s="4">
        <v>1731.66</v>
      </c>
      <c r="F692" s="4">
        <f t="shared" si="10"/>
        <v>1731.66</v>
      </c>
      <c r="G692" s="3" t="s">
        <v>48</v>
      </c>
      <c r="H692" s="5">
        <v>46084</v>
      </c>
      <c r="I692" s="3" t="str">
        <f>TEXT(Table1[[#This Row],[Date]],"mmm")</f>
        <v>Mar</v>
      </c>
    </row>
    <row r="693" spans="1:9" x14ac:dyDescent="0.3">
      <c r="A693" s="3" t="s">
        <v>727</v>
      </c>
      <c r="B693" s="3" t="s">
        <v>91</v>
      </c>
      <c r="C693" s="3" t="s">
        <v>13</v>
      </c>
      <c r="D693" s="3">
        <v>2</v>
      </c>
      <c r="E693" s="4">
        <v>50448.34</v>
      </c>
      <c r="F693" s="4">
        <f t="shared" si="10"/>
        <v>100896.68</v>
      </c>
      <c r="G693" s="3" t="s">
        <v>48</v>
      </c>
      <c r="H693" s="5">
        <v>46052</v>
      </c>
      <c r="I693" s="3" t="str">
        <f>TEXT(Table1[[#This Row],[Date]],"mmm")</f>
        <v>Jan</v>
      </c>
    </row>
    <row r="694" spans="1:9" x14ac:dyDescent="0.3">
      <c r="A694" s="3" t="s">
        <v>728</v>
      </c>
      <c r="B694" s="3" t="s">
        <v>44</v>
      </c>
      <c r="C694" s="3" t="s">
        <v>39</v>
      </c>
      <c r="D694" s="3">
        <v>5</v>
      </c>
      <c r="E694" s="4">
        <v>3576.18</v>
      </c>
      <c r="F694" s="4">
        <f t="shared" si="10"/>
        <v>17880.899999999998</v>
      </c>
      <c r="G694" s="3" t="s">
        <v>10</v>
      </c>
      <c r="H694" s="5">
        <v>46193</v>
      </c>
      <c r="I694" s="3" t="str">
        <f>TEXT(Table1[[#This Row],[Date]],"mmm")</f>
        <v>Jun</v>
      </c>
    </row>
    <row r="695" spans="1:9" x14ac:dyDescent="0.3">
      <c r="A695" s="3" t="s">
        <v>729</v>
      </c>
      <c r="B695" s="3" t="s">
        <v>21</v>
      </c>
      <c r="C695" s="3" t="s">
        <v>13</v>
      </c>
      <c r="D695" s="3">
        <v>2</v>
      </c>
      <c r="E695" s="4">
        <v>25868.880000000001</v>
      </c>
      <c r="F695" s="4">
        <f t="shared" si="10"/>
        <v>51737.760000000002</v>
      </c>
      <c r="G695" s="3" t="s">
        <v>26</v>
      </c>
      <c r="H695" s="5">
        <v>46202</v>
      </c>
      <c r="I695" s="3" t="str">
        <f>TEXT(Table1[[#This Row],[Date]],"mmm")</f>
        <v>Jun</v>
      </c>
    </row>
    <row r="696" spans="1:9" x14ac:dyDescent="0.3">
      <c r="A696" s="3" t="s">
        <v>730</v>
      </c>
      <c r="B696" s="3" t="s">
        <v>91</v>
      </c>
      <c r="C696" s="3" t="s">
        <v>13</v>
      </c>
      <c r="D696" s="3">
        <v>2</v>
      </c>
      <c r="E696" s="4">
        <v>54960.54</v>
      </c>
      <c r="F696" s="4">
        <f t="shared" si="10"/>
        <v>109921.08</v>
      </c>
      <c r="G696" s="3" t="s">
        <v>32</v>
      </c>
      <c r="H696" s="5">
        <v>46156</v>
      </c>
      <c r="I696" s="3" t="str">
        <f>TEXT(Table1[[#This Row],[Date]],"mmm")</f>
        <v>May</v>
      </c>
    </row>
    <row r="697" spans="1:9" x14ac:dyDescent="0.3">
      <c r="A697" s="3" t="s">
        <v>731</v>
      </c>
      <c r="B697" s="3" t="s">
        <v>80</v>
      </c>
      <c r="C697" s="3" t="s">
        <v>39</v>
      </c>
      <c r="D697" s="3">
        <v>3</v>
      </c>
      <c r="E697" s="4">
        <v>3920.25</v>
      </c>
      <c r="F697" s="4">
        <f t="shared" si="10"/>
        <v>11760.75</v>
      </c>
      <c r="G697" s="3" t="s">
        <v>26</v>
      </c>
      <c r="H697" s="5">
        <v>46091</v>
      </c>
      <c r="I697" s="3" t="str">
        <f>TEXT(Table1[[#This Row],[Date]],"mmm")</f>
        <v>Mar</v>
      </c>
    </row>
    <row r="698" spans="1:9" x14ac:dyDescent="0.3">
      <c r="A698" s="3" t="s">
        <v>732</v>
      </c>
      <c r="B698" s="3" t="s">
        <v>21</v>
      </c>
      <c r="C698" s="3" t="s">
        <v>13</v>
      </c>
      <c r="D698" s="3">
        <v>1</v>
      </c>
      <c r="E698" s="4">
        <v>29520.01</v>
      </c>
      <c r="F698" s="4">
        <f t="shared" si="10"/>
        <v>29520.01</v>
      </c>
      <c r="G698" s="3" t="s">
        <v>46</v>
      </c>
      <c r="H698" s="5">
        <v>46108</v>
      </c>
      <c r="I698" s="3" t="str">
        <f>TEXT(Table1[[#This Row],[Date]],"mmm")</f>
        <v>Mar</v>
      </c>
    </row>
    <row r="699" spans="1:9" x14ac:dyDescent="0.3">
      <c r="A699" s="3" t="s">
        <v>733</v>
      </c>
      <c r="B699" s="3" t="s">
        <v>62</v>
      </c>
      <c r="C699" s="3" t="s">
        <v>25</v>
      </c>
      <c r="D699" s="3">
        <v>4</v>
      </c>
      <c r="E699" s="4">
        <v>1907.84</v>
      </c>
      <c r="F699" s="4">
        <f t="shared" si="10"/>
        <v>7631.36</v>
      </c>
      <c r="G699" s="3" t="s">
        <v>18</v>
      </c>
      <c r="H699" s="5">
        <v>46090</v>
      </c>
      <c r="I699" s="3" t="str">
        <f>TEXT(Table1[[#This Row],[Date]],"mmm")</f>
        <v>Mar</v>
      </c>
    </row>
    <row r="700" spans="1:9" x14ac:dyDescent="0.3">
      <c r="A700" s="3" t="s">
        <v>734</v>
      </c>
      <c r="B700" s="3" t="s">
        <v>21</v>
      </c>
      <c r="C700" s="3" t="s">
        <v>13</v>
      </c>
      <c r="D700" s="3">
        <v>5</v>
      </c>
      <c r="E700" s="4">
        <v>28714.18</v>
      </c>
      <c r="F700" s="4">
        <f t="shared" si="10"/>
        <v>143570.9</v>
      </c>
      <c r="G700" s="3" t="s">
        <v>22</v>
      </c>
      <c r="H700" s="5">
        <v>46139</v>
      </c>
      <c r="I700" s="3" t="str">
        <f>TEXT(Table1[[#This Row],[Date]],"mmm")</f>
        <v>Apr</v>
      </c>
    </row>
    <row r="701" spans="1:9" x14ac:dyDescent="0.3">
      <c r="A701" s="3" t="s">
        <v>735</v>
      </c>
      <c r="B701" s="3" t="s">
        <v>80</v>
      </c>
      <c r="C701" s="3" t="s">
        <v>39</v>
      </c>
      <c r="D701" s="3">
        <v>3</v>
      </c>
      <c r="E701" s="4">
        <v>3826.57</v>
      </c>
      <c r="F701" s="4">
        <f t="shared" si="10"/>
        <v>11479.710000000001</v>
      </c>
      <c r="G701" s="3" t="s">
        <v>50</v>
      </c>
      <c r="H701" s="5">
        <v>46065</v>
      </c>
      <c r="I701" s="3" t="str">
        <f>TEXT(Table1[[#This Row],[Date]],"mmm")</f>
        <v>Feb</v>
      </c>
    </row>
    <row r="702" spans="1:9" x14ac:dyDescent="0.3">
      <c r="A702" s="3" t="s">
        <v>736</v>
      </c>
      <c r="B702" s="3" t="s">
        <v>55</v>
      </c>
      <c r="C702" s="3" t="s">
        <v>25</v>
      </c>
      <c r="D702" s="3">
        <v>2</v>
      </c>
      <c r="E702" s="4">
        <v>2376.61</v>
      </c>
      <c r="F702" s="4">
        <f t="shared" si="10"/>
        <v>4753.22</v>
      </c>
      <c r="G702" s="3" t="s">
        <v>18</v>
      </c>
      <c r="H702" s="5">
        <v>46169</v>
      </c>
      <c r="I702" s="3" t="str">
        <f>TEXT(Table1[[#This Row],[Date]],"mmm")</f>
        <v>May</v>
      </c>
    </row>
    <row r="703" spans="1:9" x14ac:dyDescent="0.3">
      <c r="A703" s="3" t="s">
        <v>737</v>
      </c>
      <c r="B703" s="3" t="s">
        <v>8</v>
      </c>
      <c r="C703" s="3" t="s">
        <v>9</v>
      </c>
      <c r="D703" s="3">
        <v>1</v>
      </c>
      <c r="E703" s="4">
        <v>1702.23</v>
      </c>
      <c r="F703" s="4">
        <f t="shared" si="10"/>
        <v>1702.23</v>
      </c>
      <c r="G703" s="3" t="s">
        <v>14</v>
      </c>
      <c r="H703" s="5">
        <v>46023</v>
      </c>
      <c r="I703" s="3" t="str">
        <f>TEXT(Table1[[#This Row],[Date]],"mmm")</f>
        <v>Jan</v>
      </c>
    </row>
    <row r="704" spans="1:9" x14ac:dyDescent="0.3">
      <c r="A704" s="3" t="s">
        <v>738</v>
      </c>
      <c r="B704" s="3" t="s">
        <v>91</v>
      </c>
      <c r="C704" s="3" t="s">
        <v>13</v>
      </c>
      <c r="D704" s="3">
        <v>1</v>
      </c>
      <c r="E704" s="4">
        <v>52190.07</v>
      </c>
      <c r="F704" s="4">
        <f t="shared" si="10"/>
        <v>52190.07</v>
      </c>
      <c r="G704" s="3" t="s">
        <v>22</v>
      </c>
      <c r="H704" s="5">
        <v>46116</v>
      </c>
      <c r="I704" s="3" t="str">
        <f>TEXT(Table1[[#This Row],[Date]],"mmm")</f>
        <v>Apr</v>
      </c>
    </row>
    <row r="705" spans="1:9" x14ac:dyDescent="0.3">
      <c r="A705" s="3" t="s">
        <v>739</v>
      </c>
      <c r="B705" s="3" t="s">
        <v>28</v>
      </c>
      <c r="C705" s="3" t="s">
        <v>9</v>
      </c>
      <c r="D705" s="3">
        <v>2</v>
      </c>
      <c r="E705" s="4">
        <v>4678.03</v>
      </c>
      <c r="F705" s="4">
        <f t="shared" si="10"/>
        <v>9356.06</v>
      </c>
      <c r="G705" s="3" t="s">
        <v>46</v>
      </c>
      <c r="H705" s="5">
        <v>46164</v>
      </c>
      <c r="I705" s="3" t="str">
        <f>TEXT(Table1[[#This Row],[Date]],"mmm")</f>
        <v>May</v>
      </c>
    </row>
    <row r="706" spans="1:9" x14ac:dyDescent="0.3">
      <c r="A706" s="3" t="s">
        <v>740</v>
      </c>
      <c r="B706" s="3" t="s">
        <v>62</v>
      </c>
      <c r="C706" s="3" t="s">
        <v>25</v>
      </c>
      <c r="D706" s="3">
        <v>4</v>
      </c>
      <c r="E706" s="4">
        <v>1888.86</v>
      </c>
      <c r="F706" s="4">
        <f t="shared" si="10"/>
        <v>7555.44</v>
      </c>
      <c r="G706" s="3" t="s">
        <v>29</v>
      </c>
      <c r="H706" s="5">
        <v>46129</v>
      </c>
      <c r="I706" s="3" t="str">
        <f>TEXT(Table1[[#This Row],[Date]],"mmm")</f>
        <v>Apr</v>
      </c>
    </row>
    <row r="707" spans="1:9" x14ac:dyDescent="0.3">
      <c r="A707" s="3" t="s">
        <v>741</v>
      </c>
      <c r="B707" s="3" t="s">
        <v>21</v>
      </c>
      <c r="C707" s="3" t="s">
        <v>13</v>
      </c>
      <c r="D707" s="3">
        <v>3</v>
      </c>
      <c r="E707" s="4">
        <v>26719.040000000001</v>
      </c>
      <c r="F707" s="4">
        <f t="shared" ref="F707:F770" si="11">D707*E707</f>
        <v>80157.119999999995</v>
      </c>
      <c r="G707" s="3" t="s">
        <v>18</v>
      </c>
      <c r="H707" s="5">
        <v>46169</v>
      </c>
      <c r="I707" s="3" t="str">
        <f>TEXT(Table1[[#This Row],[Date]],"mmm")</f>
        <v>May</v>
      </c>
    </row>
    <row r="708" spans="1:9" x14ac:dyDescent="0.3">
      <c r="A708" s="3" t="s">
        <v>742</v>
      </c>
      <c r="B708" s="3" t="s">
        <v>55</v>
      </c>
      <c r="C708" s="3" t="s">
        <v>25</v>
      </c>
      <c r="D708" s="3">
        <v>1</v>
      </c>
      <c r="E708" s="4">
        <v>2500.02</v>
      </c>
      <c r="F708" s="4">
        <f t="shared" si="11"/>
        <v>2500.02</v>
      </c>
      <c r="G708" s="3" t="s">
        <v>46</v>
      </c>
      <c r="H708" s="5">
        <v>46068</v>
      </c>
      <c r="I708" s="3" t="str">
        <f>TEXT(Table1[[#This Row],[Date]],"mmm")</f>
        <v>Feb</v>
      </c>
    </row>
    <row r="709" spans="1:9" x14ac:dyDescent="0.3">
      <c r="A709" s="3" t="s">
        <v>743</v>
      </c>
      <c r="B709" s="3" t="s">
        <v>12</v>
      </c>
      <c r="C709" s="3" t="s">
        <v>13</v>
      </c>
      <c r="D709" s="3">
        <v>5</v>
      </c>
      <c r="E709" s="4">
        <v>1644.42</v>
      </c>
      <c r="F709" s="4">
        <f t="shared" si="11"/>
        <v>8222.1</v>
      </c>
      <c r="G709" s="3" t="s">
        <v>48</v>
      </c>
      <c r="H709" s="5">
        <v>46040</v>
      </c>
      <c r="I709" s="3" t="str">
        <f>TEXT(Table1[[#This Row],[Date]],"mmm")</f>
        <v>Jan</v>
      </c>
    </row>
    <row r="710" spans="1:9" x14ac:dyDescent="0.3">
      <c r="A710" s="3" t="s">
        <v>744</v>
      </c>
      <c r="B710" s="3" t="s">
        <v>44</v>
      </c>
      <c r="C710" s="3" t="s">
        <v>39</v>
      </c>
      <c r="D710" s="3">
        <v>3</v>
      </c>
      <c r="E710" s="4">
        <v>3691.47</v>
      </c>
      <c r="F710" s="4">
        <f t="shared" si="11"/>
        <v>11074.41</v>
      </c>
      <c r="G710" s="3" t="s">
        <v>10</v>
      </c>
      <c r="H710" s="5">
        <v>46106</v>
      </c>
      <c r="I710" s="3" t="str">
        <f>TEXT(Table1[[#This Row],[Date]],"mmm")</f>
        <v>Mar</v>
      </c>
    </row>
    <row r="711" spans="1:9" x14ac:dyDescent="0.3">
      <c r="A711" s="3" t="s">
        <v>745</v>
      </c>
      <c r="B711" s="3" t="s">
        <v>31</v>
      </c>
      <c r="C711" s="3" t="s">
        <v>13</v>
      </c>
      <c r="D711" s="3">
        <v>5</v>
      </c>
      <c r="E711" s="4">
        <v>17844.29</v>
      </c>
      <c r="F711" s="4">
        <f t="shared" si="11"/>
        <v>89221.450000000012</v>
      </c>
      <c r="G711" s="3" t="s">
        <v>32</v>
      </c>
      <c r="H711" s="5">
        <v>46074</v>
      </c>
      <c r="I711" s="3" t="str">
        <f>TEXT(Table1[[#This Row],[Date]],"mmm")</f>
        <v>Feb</v>
      </c>
    </row>
    <row r="712" spans="1:9" x14ac:dyDescent="0.3">
      <c r="A712" s="3" t="s">
        <v>746</v>
      </c>
      <c r="B712" s="3" t="s">
        <v>24</v>
      </c>
      <c r="C712" s="3" t="s">
        <v>25</v>
      </c>
      <c r="D712" s="3">
        <v>5</v>
      </c>
      <c r="E712" s="4">
        <v>844.46</v>
      </c>
      <c r="F712" s="4">
        <f t="shared" si="11"/>
        <v>4222.3</v>
      </c>
      <c r="G712" s="3" t="s">
        <v>50</v>
      </c>
      <c r="H712" s="5">
        <v>46085</v>
      </c>
      <c r="I712" s="3" t="str">
        <f>TEXT(Table1[[#This Row],[Date]],"mmm")</f>
        <v>Mar</v>
      </c>
    </row>
    <row r="713" spans="1:9" x14ac:dyDescent="0.3">
      <c r="A713" s="3" t="s">
        <v>747</v>
      </c>
      <c r="B713" s="3" t="s">
        <v>44</v>
      </c>
      <c r="C713" s="3" t="s">
        <v>39</v>
      </c>
      <c r="D713" s="3">
        <v>3</v>
      </c>
      <c r="E713" s="4">
        <v>3564.18</v>
      </c>
      <c r="F713" s="4">
        <f t="shared" si="11"/>
        <v>10692.539999999999</v>
      </c>
      <c r="G713" s="3" t="s">
        <v>22</v>
      </c>
      <c r="H713" s="5">
        <v>46073</v>
      </c>
      <c r="I713" s="3" t="str">
        <f>TEXT(Table1[[#This Row],[Date]],"mmm")</f>
        <v>Feb</v>
      </c>
    </row>
    <row r="714" spans="1:9" x14ac:dyDescent="0.3">
      <c r="A714" s="3" t="s">
        <v>748</v>
      </c>
      <c r="B714" s="3" t="s">
        <v>21</v>
      </c>
      <c r="C714" s="3" t="s">
        <v>13</v>
      </c>
      <c r="D714" s="3">
        <v>5</v>
      </c>
      <c r="E714" s="4">
        <v>29458.7</v>
      </c>
      <c r="F714" s="4">
        <f t="shared" si="11"/>
        <v>147293.5</v>
      </c>
      <c r="G714" s="3" t="s">
        <v>29</v>
      </c>
      <c r="H714" s="5">
        <v>46061</v>
      </c>
      <c r="I714" s="3" t="str">
        <f>TEXT(Table1[[#This Row],[Date]],"mmm")</f>
        <v>Feb</v>
      </c>
    </row>
    <row r="715" spans="1:9" x14ac:dyDescent="0.3">
      <c r="A715" s="3" t="s">
        <v>749</v>
      </c>
      <c r="B715" s="3" t="s">
        <v>91</v>
      </c>
      <c r="C715" s="3" t="s">
        <v>13</v>
      </c>
      <c r="D715" s="3">
        <v>4</v>
      </c>
      <c r="E715" s="4">
        <v>49763.01</v>
      </c>
      <c r="F715" s="4">
        <f t="shared" si="11"/>
        <v>199052.04</v>
      </c>
      <c r="G715" s="3" t="s">
        <v>14</v>
      </c>
      <c r="H715" s="5">
        <v>46111</v>
      </c>
      <c r="I715" s="3" t="str">
        <f>TEXT(Table1[[#This Row],[Date]],"mmm")</f>
        <v>Mar</v>
      </c>
    </row>
    <row r="716" spans="1:9" x14ac:dyDescent="0.3">
      <c r="A716" s="3" t="s">
        <v>750</v>
      </c>
      <c r="B716" s="3" t="s">
        <v>8</v>
      </c>
      <c r="C716" s="3" t="s">
        <v>9</v>
      </c>
      <c r="D716" s="3">
        <v>1</v>
      </c>
      <c r="E716" s="4">
        <v>1962.36</v>
      </c>
      <c r="F716" s="4">
        <f t="shared" si="11"/>
        <v>1962.36</v>
      </c>
      <c r="G716" s="3" t="s">
        <v>46</v>
      </c>
      <c r="H716" s="5">
        <v>46191</v>
      </c>
      <c r="I716" s="3" t="str">
        <f>TEXT(Table1[[#This Row],[Date]],"mmm")</f>
        <v>Jun</v>
      </c>
    </row>
    <row r="717" spans="1:9" x14ac:dyDescent="0.3">
      <c r="A717" s="3" t="s">
        <v>751</v>
      </c>
      <c r="B717" s="3" t="s">
        <v>28</v>
      </c>
      <c r="C717" s="3" t="s">
        <v>9</v>
      </c>
      <c r="D717" s="3">
        <v>3</v>
      </c>
      <c r="E717" s="4">
        <v>4603.03</v>
      </c>
      <c r="F717" s="4">
        <f t="shared" si="11"/>
        <v>13809.09</v>
      </c>
      <c r="G717" s="3" t="s">
        <v>14</v>
      </c>
      <c r="H717" s="5">
        <v>46083</v>
      </c>
      <c r="I717" s="3" t="str">
        <f>TEXT(Table1[[#This Row],[Date]],"mmm")</f>
        <v>Mar</v>
      </c>
    </row>
    <row r="718" spans="1:9" x14ac:dyDescent="0.3">
      <c r="A718" s="3" t="s">
        <v>752</v>
      </c>
      <c r="B718" s="3" t="s">
        <v>28</v>
      </c>
      <c r="C718" s="3" t="s">
        <v>9</v>
      </c>
      <c r="D718" s="3">
        <v>4</v>
      </c>
      <c r="E718" s="4">
        <v>5460.09</v>
      </c>
      <c r="F718" s="4">
        <f t="shared" si="11"/>
        <v>21840.36</v>
      </c>
      <c r="G718" s="3" t="s">
        <v>26</v>
      </c>
      <c r="H718" s="5">
        <v>46094</v>
      </c>
      <c r="I718" s="3" t="str">
        <f>TEXT(Table1[[#This Row],[Date]],"mmm")</f>
        <v>Mar</v>
      </c>
    </row>
    <row r="719" spans="1:9" x14ac:dyDescent="0.3">
      <c r="A719" s="3" t="s">
        <v>753</v>
      </c>
      <c r="B719" s="3" t="s">
        <v>31</v>
      </c>
      <c r="C719" s="3" t="s">
        <v>13</v>
      </c>
      <c r="D719" s="3">
        <v>1</v>
      </c>
      <c r="E719" s="4">
        <v>19516.59</v>
      </c>
      <c r="F719" s="4">
        <f t="shared" si="11"/>
        <v>19516.59</v>
      </c>
      <c r="G719" s="3" t="s">
        <v>14</v>
      </c>
      <c r="H719" s="5">
        <v>46128</v>
      </c>
      <c r="I719" s="3" t="str">
        <f>TEXT(Table1[[#This Row],[Date]],"mmm")</f>
        <v>Apr</v>
      </c>
    </row>
    <row r="720" spans="1:9" x14ac:dyDescent="0.3">
      <c r="A720" s="3" t="s">
        <v>754</v>
      </c>
      <c r="B720" s="3" t="s">
        <v>21</v>
      </c>
      <c r="C720" s="3" t="s">
        <v>13</v>
      </c>
      <c r="D720" s="3">
        <v>3</v>
      </c>
      <c r="E720" s="4">
        <v>27767.360000000001</v>
      </c>
      <c r="F720" s="4">
        <f t="shared" si="11"/>
        <v>83302.080000000002</v>
      </c>
      <c r="G720" s="3" t="s">
        <v>18</v>
      </c>
      <c r="H720" s="5">
        <v>46171</v>
      </c>
      <c r="I720" s="3" t="str">
        <f>TEXT(Table1[[#This Row],[Date]],"mmm")</f>
        <v>May</v>
      </c>
    </row>
    <row r="721" spans="1:9" x14ac:dyDescent="0.3">
      <c r="A721" s="3" t="s">
        <v>755</v>
      </c>
      <c r="B721" s="3" t="s">
        <v>31</v>
      </c>
      <c r="C721" s="3" t="s">
        <v>13</v>
      </c>
      <c r="D721" s="3">
        <v>5</v>
      </c>
      <c r="E721" s="4">
        <v>16680.650000000001</v>
      </c>
      <c r="F721" s="4">
        <f t="shared" si="11"/>
        <v>83403.25</v>
      </c>
      <c r="G721" s="3" t="s">
        <v>48</v>
      </c>
      <c r="H721" s="5">
        <v>46042</v>
      </c>
      <c r="I721" s="3" t="str">
        <f>TEXT(Table1[[#This Row],[Date]],"mmm")</f>
        <v>Jan</v>
      </c>
    </row>
    <row r="722" spans="1:9" x14ac:dyDescent="0.3">
      <c r="A722" s="3" t="s">
        <v>756</v>
      </c>
      <c r="B722" s="3" t="s">
        <v>16</v>
      </c>
      <c r="C722" s="3" t="s">
        <v>17</v>
      </c>
      <c r="D722" s="3">
        <v>5</v>
      </c>
      <c r="E722" s="4">
        <v>410.61</v>
      </c>
      <c r="F722" s="4">
        <f t="shared" si="11"/>
        <v>2053.0500000000002</v>
      </c>
      <c r="G722" s="3" t="s">
        <v>26</v>
      </c>
      <c r="H722" s="5">
        <v>46083</v>
      </c>
      <c r="I722" s="3" t="str">
        <f>TEXT(Table1[[#This Row],[Date]],"mmm")</f>
        <v>Mar</v>
      </c>
    </row>
    <row r="723" spans="1:9" x14ac:dyDescent="0.3">
      <c r="A723" s="3" t="s">
        <v>757</v>
      </c>
      <c r="B723" s="3" t="s">
        <v>24</v>
      </c>
      <c r="C723" s="3" t="s">
        <v>25</v>
      </c>
      <c r="D723" s="3">
        <v>3</v>
      </c>
      <c r="E723" s="4">
        <v>855.08</v>
      </c>
      <c r="F723" s="4">
        <f t="shared" si="11"/>
        <v>2565.2400000000002</v>
      </c>
      <c r="G723" s="3" t="s">
        <v>48</v>
      </c>
      <c r="H723" s="5">
        <v>46202</v>
      </c>
      <c r="I723" s="3" t="str">
        <f>TEXT(Table1[[#This Row],[Date]],"mmm")</f>
        <v>Jun</v>
      </c>
    </row>
    <row r="724" spans="1:9" x14ac:dyDescent="0.3">
      <c r="A724" s="3" t="s">
        <v>758</v>
      </c>
      <c r="B724" s="3" t="s">
        <v>38</v>
      </c>
      <c r="C724" s="3" t="s">
        <v>39</v>
      </c>
      <c r="D724" s="3">
        <v>3</v>
      </c>
      <c r="E724" s="4">
        <v>6263.48</v>
      </c>
      <c r="F724" s="4">
        <f t="shared" si="11"/>
        <v>18790.439999999999</v>
      </c>
      <c r="G724" s="3" t="s">
        <v>10</v>
      </c>
      <c r="H724" s="5">
        <v>46082</v>
      </c>
      <c r="I724" s="3" t="str">
        <f>TEXT(Table1[[#This Row],[Date]],"mmm")</f>
        <v>Mar</v>
      </c>
    </row>
    <row r="725" spans="1:9" x14ac:dyDescent="0.3">
      <c r="A725" s="3" t="s">
        <v>759</v>
      </c>
      <c r="B725" s="3" t="s">
        <v>31</v>
      </c>
      <c r="C725" s="3" t="s">
        <v>13</v>
      </c>
      <c r="D725" s="3">
        <v>2</v>
      </c>
      <c r="E725" s="4">
        <v>16690</v>
      </c>
      <c r="F725" s="4">
        <f t="shared" si="11"/>
        <v>33380</v>
      </c>
      <c r="G725" s="3" t="s">
        <v>50</v>
      </c>
      <c r="H725" s="5">
        <v>46050</v>
      </c>
      <c r="I725" s="3" t="str">
        <f>TEXT(Table1[[#This Row],[Date]],"mmm")</f>
        <v>Jan</v>
      </c>
    </row>
    <row r="726" spans="1:9" x14ac:dyDescent="0.3">
      <c r="A726" s="3" t="s">
        <v>760</v>
      </c>
      <c r="B726" s="3" t="s">
        <v>72</v>
      </c>
      <c r="C726" s="3" t="s">
        <v>13</v>
      </c>
      <c r="D726" s="3">
        <v>1</v>
      </c>
      <c r="E726" s="4">
        <v>2052.3200000000002</v>
      </c>
      <c r="F726" s="4">
        <f t="shared" si="11"/>
        <v>2052.3200000000002</v>
      </c>
      <c r="G726" s="3" t="s">
        <v>22</v>
      </c>
      <c r="H726" s="5">
        <v>46103</v>
      </c>
      <c r="I726" s="3" t="str">
        <f>TEXT(Table1[[#This Row],[Date]],"mmm")</f>
        <v>Mar</v>
      </c>
    </row>
    <row r="727" spans="1:9" x14ac:dyDescent="0.3">
      <c r="A727" s="3" t="s">
        <v>761</v>
      </c>
      <c r="B727" s="3" t="s">
        <v>28</v>
      </c>
      <c r="C727" s="3" t="s">
        <v>9</v>
      </c>
      <c r="D727" s="3">
        <v>1</v>
      </c>
      <c r="E727" s="4">
        <v>5034.92</v>
      </c>
      <c r="F727" s="4">
        <f t="shared" si="11"/>
        <v>5034.92</v>
      </c>
      <c r="G727" s="3" t="s">
        <v>29</v>
      </c>
      <c r="H727" s="5">
        <v>46138</v>
      </c>
      <c r="I727" s="3" t="str">
        <f>TEXT(Table1[[#This Row],[Date]],"mmm")</f>
        <v>Apr</v>
      </c>
    </row>
    <row r="728" spans="1:9" x14ac:dyDescent="0.3">
      <c r="A728" s="3" t="s">
        <v>762</v>
      </c>
      <c r="B728" s="3" t="s">
        <v>24</v>
      </c>
      <c r="C728" s="3" t="s">
        <v>25</v>
      </c>
      <c r="D728" s="3">
        <v>4</v>
      </c>
      <c r="E728" s="4">
        <v>761.45</v>
      </c>
      <c r="F728" s="4">
        <f t="shared" si="11"/>
        <v>3045.8</v>
      </c>
      <c r="G728" s="3" t="s">
        <v>18</v>
      </c>
      <c r="H728" s="5">
        <v>46046</v>
      </c>
      <c r="I728" s="3" t="str">
        <f>TEXT(Table1[[#This Row],[Date]],"mmm")</f>
        <v>Jan</v>
      </c>
    </row>
    <row r="729" spans="1:9" x14ac:dyDescent="0.3">
      <c r="A729" s="3" t="s">
        <v>763</v>
      </c>
      <c r="B729" s="3" t="s">
        <v>72</v>
      </c>
      <c r="C729" s="3" t="s">
        <v>13</v>
      </c>
      <c r="D729" s="3">
        <v>3</v>
      </c>
      <c r="E729" s="4">
        <v>2343.61</v>
      </c>
      <c r="F729" s="4">
        <f t="shared" si="11"/>
        <v>7030.83</v>
      </c>
      <c r="G729" s="3" t="s">
        <v>50</v>
      </c>
      <c r="H729" s="5">
        <v>46033</v>
      </c>
      <c r="I729" s="3" t="str">
        <f>TEXT(Table1[[#This Row],[Date]],"mmm")</f>
        <v>Jan</v>
      </c>
    </row>
    <row r="730" spans="1:9" x14ac:dyDescent="0.3">
      <c r="A730" s="3" t="s">
        <v>764</v>
      </c>
      <c r="B730" s="3" t="s">
        <v>12</v>
      </c>
      <c r="C730" s="3" t="s">
        <v>13</v>
      </c>
      <c r="D730" s="3">
        <v>3</v>
      </c>
      <c r="E730" s="4">
        <v>1394.5</v>
      </c>
      <c r="F730" s="4">
        <f t="shared" si="11"/>
        <v>4183.5</v>
      </c>
      <c r="G730" s="3" t="s">
        <v>29</v>
      </c>
      <c r="H730" s="5">
        <v>46114</v>
      </c>
      <c r="I730" s="3" t="str">
        <f>TEXT(Table1[[#This Row],[Date]],"mmm")</f>
        <v>Apr</v>
      </c>
    </row>
    <row r="731" spans="1:9" x14ac:dyDescent="0.3">
      <c r="A731" s="3" t="s">
        <v>765</v>
      </c>
      <c r="B731" s="3" t="s">
        <v>28</v>
      </c>
      <c r="C731" s="3" t="s">
        <v>9</v>
      </c>
      <c r="D731" s="3">
        <v>5</v>
      </c>
      <c r="E731" s="4">
        <v>4548.04</v>
      </c>
      <c r="F731" s="4">
        <f t="shared" si="11"/>
        <v>22740.2</v>
      </c>
      <c r="G731" s="3" t="s">
        <v>10</v>
      </c>
      <c r="H731" s="5">
        <v>46089</v>
      </c>
      <c r="I731" s="3" t="str">
        <f>TEXT(Table1[[#This Row],[Date]],"mmm")</f>
        <v>Mar</v>
      </c>
    </row>
    <row r="732" spans="1:9" x14ac:dyDescent="0.3">
      <c r="A732" s="3" t="s">
        <v>766</v>
      </c>
      <c r="B732" s="3" t="s">
        <v>38</v>
      </c>
      <c r="C732" s="3" t="s">
        <v>39</v>
      </c>
      <c r="D732" s="3">
        <v>2</v>
      </c>
      <c r="E732" s="4">
        <v>5890.41</v>
      </c>
      <c r="F732" s="4">
        <f t="shared" si="11"/>
        <v>11780.82</v>
      </c>
      <c r="G732" s="3" t="s">
        <v>48</v>
      </c>
      <c r="H732" s="5">
        <v>46138</v>
      </c>
      <c r="I732" s="3" t="str">
        <f>TEXT(Table1[[#This Row],[Date]],"mmm")</f>
        <v>Apr</v>
      </c>
    </row>
    <row r="733" spans="1:9" x14ac:dyDescent="0.3">
      <c r="A733" s="3" t="s">
        <v>767</v>
      </c>
      <c r="B733" s="3" t="s">
        <v>80</v>
      </c>
      <c r="C733" s="3" t="s">
        <v>39</v>
      </c>
      <c r="D733" s="3">
        <v>5</v>
      </c>
      <c r="E733" s="4">
        <v>3989.88</v>
      </c>
      <c r="F733" s="4">
        <f t="shared" si="11"/>
        <v>19949.400000000001</v>
      </c>
      <c r="G733" s="3" t="s">
        <v>22</v>
      </c>
      <c r="H733" s="5">
        <v>46049</v>
      </c>
      <c r="I733" s="3" t="str">
        <f>TEXT(Table1[[#This Row],[Date]],"mmm")</f>
        <v>Jan</v>
      </c>
    </row>
    <row r="734" spans="1:9" x14ac:dyDescent="0.3">
      <c r="A734" s="3" t="s">
        <v>768</v>
      </c>
      <c r="B734" s="3" t="s">
        <v>62</v>
      </c>
      <c r="C734" s="3" t="s">
        <v>25</v>
      </c>
      <c r="D734" s="3">
        <v>2</v>
      </c>
      <c r="E734" s="4">
        <v>1847.66</v>
      </c>
      <c r="F734" s="4">
        <f t="shared" si="11"/>
        <v>3695.32</v>
      </c>
      <c r="G734" s="3" t="s">
        <v>46</v>
      </c>
      <c r="H734" s="5">
        <v>46079</v>
      </c>
      <c r="I734" s="3" t="str">
        <f>TEXT(Table1[[#This Row],[Date]],"mmm")</f>
        <v>Feb</v>
      </c>
    </row>
    <row r="735" spans="1:9" x14ac:dyDescent="0.3">
      <c r="A735" s="3" t="s">
        <v>769</v>
      </c>
      <c r="B735" s="3" t="s">
        <v>72</v>
      </c>
      <c r="C735" s="3" t="s">
        <v>13</v>
      </c>
      <c r="D735" s="3">
        <v>2</v>
      </c>
      <c r="E735" s="4">
        <v>2342.42</v>
      </c>
      <c r="F735" s="4">
        <f t="shared" si="11"/>
        <v>4684.84</v>
      </c>
      <c r="G735" s="3" t="s">
        <v>32</v>
      </c>
      <c r="H735" s="5">
        <v>46198</v>
      </c>
      <c r="I735" s="3" t="str">
        <f>TEXT(Table1[[#This Row],[Date]],"mmm")</f>
        <v>Jun</v>
      </c>
    </row>
    <row r="736" spans="1:9" x14ac:dyDescent="0.3">
      <c r="A736" s="3" t="s">
        <v>770</v>
      </c>
      <c r="B736" s="3" t="s">
        <v>8</v>
      </c>
      <c r="C736" s="3" t="s">
        <v>9</v>
      </c>
      <c r="D736" s="3">
        <v>1</v>
      </c>
      <c r="E736" s="4">
        <v>1829.64</v>
      </c>
      <c r="F736" s="4">
        <f t="shared" si="11"/>
        <v>1829.64</v>
      </c>
      <c r="G736" s="3" t="s">
        <v>10</v>
      </c>
      <c r="H736" s="5">
        <v>46042</v>
      </c>
      <c r="I736" s="3" t="str">
        <f>TEXT(Table1[[#This Row],[Date]],"mmm")</f>
        <v>Jan</v>
      </c>
    </row>
    <row r="737" spans="1:9" x14ac:dyDescent="0.3">
      <c r="A737" s="3" t="s">
        <v>771</v>
      </c>
      <c r="B737" s="3" t="s">
        <v>91</v>
      </c>
      <c r="C737" s="3" t="s">
        <v>13</v>
      </c>
      <c r="D737" s="3">
        <v>1</v>
      </c>
      <c r="E737" s="4">
        <v>51675.25</v>
      </c>
      <c r="F737" s="4">
        <f t="shared" si="11"/>
        <v>51675.25</v>
      </c>
      <c r="G737" s="3" t="s">
        <v>22</v>
      </c>
      <c r="H737" s="5">
        <v>46055</v>
      </c>
      <c r="I737" s="3" t="str">
        <f>TEXT(Table1[[#This Row],[Date]],"mmm")</f>
        <v>Feb</v>
      </c>
    </row>
    <row r="738" spans="1:9" x14ac:dyDescent="0.3">
      <c r="A738" s="3" t="s">
        <v>772</v>
      </c>
      <c r="B738" s="3" t="s">
        <v>31</v>
      </c>
      <c r="C738" s="3" t="s">
        <v>13</v>
      </c>
      <c r="D738" s="3">
        <v>3</v>
      </c>
      <c r="E738" s="4">
        <v>16641.099999999999</v>
      </c>
      <c r="F738" s="4">
        <f t="shared" si="11"/>
        <v>49923.299999999996</v>
      </c>
      <c r="G738" s="3" t="s">
        <v>22</v>
      </c>
      <c r="H738" s="5">
        <v>46035</v>
      </c>
      <c r="I738" s="3" t="str">
        <f>TEXT(Table1[[#This Row],[Date]],"mmm")</f>
        <v>Jan</v>
      </c>
    </row>
    <row r="739" spans="1:9" x14ac:dyDescent="0.3">
      <c r="A739" s="3" t="s">
        <v>773</v>
      </c>
      <c r="B739" s="3" t="s">
        <v>72</v>
      </c>
      <c r="C739" s="3" t="s">
        <v>13</v>
      </c>
      <c r="D739" s="3">
        <v>5</v>
      </c>
      <c r="E739" s="4">
        <v>2170.59</v>
      </c>
      <c r="F739" s="4">
        <f t="shared" si="11"/>
        <v>10852.95</v>
      </c>
      <c r="G739" s="3" t="s">
        <v>48</v>
      </c>
      <c r="H739" s="5">
        <v>46150</v>
      </c>
      <c r="I739" s="3" t="str">
        <f>TEXT(Table1[[#This Row],[Date]],"mmm")</f>
        <v>May</v>
      </c>
    </row>
    <row r="740" spans="1:9" x14ac:dyDescent="0.3">
      <c r="A740" s="3" t="s">
        <v>774</v>
      </c>
      <c r="B740" s="3" t="s">
        <v>91</v>
      </c>
      <c r="C740" s="3" t="s">
        <v>13</v>
      </c>
      <c r="D740" s="3">
        <v>4</v>
      </c>
      <c r="E740" s="4">
        <v>57015.34</v>
      </c>
      <c r="F740" s="4">
        <f t="shared" si="11"/>
        <v>228061.36</v>
      </c>
      <c r="G740" s="3" t="s">
        <v>26</v>
      </c>
      <c r="H740" s="5">
        <v>46113</v>
      </c>
      <c r="I740" s="3" t="str">
        <f>TEXT(Table1[[#This Row],[Date]],"mmm")</f>
        <v>Apr</v>
      </c>
    </row>
    <row r="741" spans="1:9" x14ac:dyDescent="0.3">
      <c r="A741" s="3" t="s">
        <v>775</v>
      </c>
      <c r="B741" s="3" t="s">
        <v>12</v>
      </c>
      <c r="C741" s="3" t="s">
        <v>13</v>
      </c>
      <c r="D741" s="3">
        <v>2</v>
      </c>
      <c r="E741" s="4">
        <v>1432.49</v>
      </c>
      <c r="F741" s="4">
        <f t="shared" si="11"/>
        <v>2864.98</v>
      </c>
      <c r="G741" s="3" t="s">
        <v>22</v>
      </c>
      <c r="H741" s="5">
        <v>46061</v>
      </c>
      <c r="I741" s="3" t="str">
        <f>TEXT(Table1[[#This Row],[Date]],"mmm")</f>
        <v>Feb</v>
      </c>
    </row>
    <row r="742" spans="1:9" x14ac:dyDescent="0.3">
      <c r="A742" s="3" t="s">
        <v>776</v>
      </c>
      <c r="B742" s="3" t="s">
        <v>91</v>
      </c>
      <c r="C742" s="3" t="s">
        <v>13</v>
      </c>
      <c r="D742" s="3">
        <v>5</v>
      </c>
      <c r="E742" s="4">
        <v>56310.94</v>
      </c>
      <c r="F742" s="4">
        <f t="shared" si="11"/>
        <v>281554.7</v>
      </c>
      <c r="G742" s="3" t="s">
        <v>29</v>
      </c>
      <c r="H742" s="5">
        <v>46188</v>
      </c>
      <c r="I742" s="3" t="str">
        <f>TEXT(Table1[[#This Row],[Date]],"mmm")</f>
        <v>Jun</v>
      </c>
    </row>
    <row r="743" spans="1:9" x14ac:dyDescent="0.3">
      <c r="A743" s="3" t="s">
        <v>777</v>
      </c>
      <c r="B743" s="3" t="s">
        <v>24</v>
      </c>
      <c r="C743" s="3" t="s">
        <v>25</v>
      </c>
      <c r="D743" s="3">
        <v>4</v>
      </c>
      <c r="E743" s="4">
        <v>784.94</v>
      </c>
      <c r="F743" s="4">
        <f t="shared" si="11"/>
        <v>3139.76</v>
      </c>
      <c r="G743" s="3" t="s">
        <v>14</v>
      </c>
      <c r="H743" s="5">
        <v>46145</v>
      </c>
      <c r="I743" s="3" t="str">
        <f>TEXT(Table1[[#This Row],[Date]],"mmm")</f>
        <v>May</v>
      </c>
    </row>
    <row r="744" spans="1:9" x14ac:dyDescent="0.3">
      <c r="A744" s="3" t="s">
        <v>778</v>
      </c>
      <c r="B744" s="3" t="s">
        <v>91</v>
      </c>
      <c r="C744" s="3" t="s">
        <v>13</v>
      </c>
      <c r="D744" s="3">
        <v>1</v>
      </c>
      <c r="E744" s="4">
        <v>52577.54</v>
      </c>
      <c r="F744" s="4">
        <f t="shared" si="11"/>
        <v>52577.54</v>
      </c>
      <c r="G744" s="3" t="s">
        <v>26</v>
      </c>
      <c r="H744" s="5">
        <v>46130</v>
      </c>
      <c r="I744" s="3" t="str">
        <f>TEXT(Table1[[#This Row],[Date]],"mmm")</f>
        <v>Apr</v>
      </c>
    </row>
    <row r="745" spans="1:9" x14ac:dyDescent="0.3">
      <c r="A745" s="3" t="s">
        <v>779</v>
      </c>
      <c r="B745" s="3" t="s">
        <v>12</v>
      </c>
      <c r="C745" s="3" t="s">
        <v>13</v>
      </c>
      <c r="D745" s="3">
        <v>5</v>
      </c>
      <c r="E745" s="4">
        <v>1424.74</v>
      </c>
      <c r="F745" s="4">
        <f t="shared" si="11"/>
        <v>7123.7</v>
      </c>
      <c r="G745" s="3" t="s">
        <v>14</v>
      </c>
      <c r="H745" s="5">
        <v>46027</v>
      </c>
      <c r="I745" s="3" t="str">
        <f>TEXT(Table1[[#This Row],[Date]],"mmm")</f>
        <v>Jan</v>
      </c>
    </row>
    <row r="746" spans="1:9" x14ac:dyDescent="0.3">
      <c r="A746" s="3" t="s">
        <v>780</v>
      </c>
      <c r="B746" s="3" t="s">
        <v>28</v>
      </c>
      <c r="C746" s="3" t="s">
        <v>9</v>
      </c>
      <c r="D746" s="3">
        <v>3</v>
      </c>
      <c r="E746" s="4">
        <v>4978.6899999999996</v>
      </c>
      <c r="F746" s="4">
        <f t="shared" si="11"/>
        <v>14936.07</v>
      </c>
      <c r="G746" s="3" t="s">
        <v>22</v>
      </c>
      <c r="H746" s="5">
        <v>46111</v>
      </c>
      <c r="I746" s="3" t="str">
        <f>TEXT(Table1[[#This Row],[Date]],"mmm")</f>
        <v>Mar</v>
      </c>
    </row>
    <row r="747" spans="1:9" x14ac:dyDescent="0.3">
      <c r="A747" s="3" t="s">
        <v>781</v>
      </c>
      <c r="B747" s="3" t="s">
        <v>16</v>
      </c>
      <c r="C747" s="3" t="s">
        <v>17</v>
      </c>
      <c r="D747" s="3">
        <v>5</v>
      </c>
      <c r="E747" s="4">
        <v>433.94</v>
      </c>
      <c r="F747" s="4">
        <f t="shared" si="11"/>
        <v>2169.6999999999998</v>
      </c>
      <c r="G747" s="3" t="s">
        <v>10</v>
      </c>
      <c r="H747" s="5">
        <v>46069</v>
      </c>
      <c r="I747" s="3" t="str">
        <f>TEXT(Table1[[#This Row],[Date]],"mmm")</f>
        <v>Feb</v>
      </c>
    </row>
    <row r="748" spans="1:9" x14ac:dyDescent="0.3">
      <c r="A748" s="3" t="s">
        <v>782</v>
      </c>
      <c r="B748" s="3" t="s">
        <v>91</v>
      </c>
      <c r="C748" s="3" t="s">
        <v>13</v>
      </c>
      <c r="D748" s="3">
        <v>3</v>
      </c>
      <c r="E748" s="4">
        <v>56068.28</v>
      </c>
      <c r="F748" s="4">
        <f t="shared" si="11"/>
        <v>168204.84</v>
      </c>
      <c r="G748" s="3" t="s">
        <v>46</v>
      </c>
      <c r="H748" s="5">
        <v>46094</v>
      </c>
      <c r="I748" s="3" t="str">
        <f>TEXT(Table1[[#This Row],[Date]],"mmm")</f>
        <v>Mar</v>
      </c>
    </row>
    <row r="749" spans="1:9" x14ac:dyDescent="0.3">
      <c r="A749" s="3" t="s">
        <v>783</v>
      </c>
      <c r="B749" s="3" t="s">
        <v>91</v>
      </c>
      <c r="C749" s="3" t="s">
        <v>13</v>
      </c>
      <c r="D749" s="3">
        <v>4</v>
      </c>
      <c r="E749" s="4">
        <v>55323.76</v>
      </c>
      <c r="F749" s="4">
        <f t="shared" si="11"/>
        <v>221295.04</v>
      </c>
      <c r="G749" s="3" t="s">
        <v>50</v>
      </c>
      <c r="H749" s="5">
        <v>46082</v>
      </c>
      <c r="I749" s="3" t="str">
        <f>TEXT(Table1[[#This Row],[Date]],"mmm")</f>
        <v>Mar</v>
      </c>
    </row>
    <row r="750" spans="1:9" x14ac:dyDescent="0.3">
      <c r="A750" s="3" t="s">
        <v>784</v>
      </c>
      <c r="B750" s="3" t="s">
        <v>72</v>
      </c>
      <c r="C750" s="3" t="s">
        <v>13</v>
      </c>
      <c r="D750" s="3">
        <v>1</v>
      </c>
      <c r="E750" s="4">
        <v>2089.06</v>
      </c>
      <c r="F750" s="4">
        <f t="shared" si="11"/>
        <v>2089.06</v>
      </c>
      <c r="G750" s="3" t="s">
        <v>29</v>
      </c>
      <c r="H750" s="5">
        <v>46091</v>
      </c>
      <c r="I750" s="3" t="str">
        <f>TEXT(Table1[[#This Row],[Date]],"mmm")</f>
        <v>Mar</v>
      </c>
    </row>
    <row r="751" spans="1:9" x14ac:dyDescent="0.3">
      <c r="A751" s="3" t="s">
        <v>785</v>
      </c>
      <c r="B751" s="3" t="s">
        <v>80</v>
      </c>
      <c r="C751" s="3" t="s">
        <v>39</v>
      </c>
      <c r="D751" s="3">
        <v>1</v>
      </c>
      <c r="E751" s="4">
        <v>4421.8</v>
      </c>
      <c r="F751" s="4">
        <f t="shared" si="11"/>
        <v>4421.8</v>
      </c>
      <c r="G751" s="3" t="s">
        <v>29</v>
      </c>
      <c r="H751" s="5">
        <v>46170</v>
      </c>
      <c r="I751" s="3" t="str">
        <f>TEXT(Table1[[#This Row],[Date]],"mmm")</f>
        <v>May</v>
      </c>
    </row>
    <row r="752" spans="1:9" x14ac:dyDescent="0.3">
      <c r="A752" s="3" t="s">
        <v>786</v>
      </c>
      <c r="B752" s="3" t="s">
        <v>38</v>
      </c>
      <c r="C752" s="3" t="s">
        <v>39</v>
      </c>
      <c r="D752" s="3">
        <v>4</v>
      </c>
      <c r="E752" s="4">
        <v>6311.25</v>
      </c>
      <c r="F752" s="4">
        <f t="shared" si="11"/>
        <v>25245</v>
      </c>
      <c r="G752" s="3" t="s">
        <v>26</v>
      </c>
      <c r="H752" s="5">
        <v>46068</v>
      </c>
      <c r="I752" s="3" t="str">
        <f>TEXT(Table1[[#This Row],[Date]],"mmm")</f>
        <v>Feb</v>
      </c>
    </row>
    <row r="753" spans="1:9" x14ac:dyDescent="0.3">
      <c r="A753" s="3" t="s">
        <v>787</v>
      </c>
      <c r="B753" s="3" t="s">
        <v>12</v>
      </c>
      <c r="C753" s="3" t="s">
        <v>13</v>
      </c>
      <c r="D753" s="3">
        <v>5</v>
      </c>
      <c r="E753" s="4">
        <v>1445.4</v>
      </c>
      <c r="F753" s="4">
        <f t="shared" si="11"/>
        <v>7227</v>
      </c>
      <c r="G753" s="3" t="s">
        <v>32</v>
      </c>
      <c r="H753" s="5">
        <v>46174</v>
      </c>
      <c r="I753" s="3" t="str">
        <f>TEXT(Table1[[#This Row],[Date]],"mmm")</f>
        <v>Jun</v>
      </c>
    </row>
    <row r="754" spans="1:9" x14ac:dyDescent="0.3">
      <c r="A754" s="3" t="s">
        <v>788</v>
      </c>
      <c r="B754" s="3" t="s">
        <v>91</v>
      </c>
      <c r="C754" s="3" t="s">
        <v>13</v>
      </c>
      <c r="D754" s="3">
        <v>3</v>
      </c>
      <c r="E754" s="4">
        <v>59923.15</v>
      </c>
      <c r="F754" s="4">
        <f t="shared" si="11"/>
        <v>179769.45</v>
      </c>
      <c r="G754" s="3" t="s">
        <v>50</v>
      </c>
      <c r="H754" s="5">
        <v>46059</v>
      </c>
      <c r="I754" s="3" t="str">
        <f>TEXT(Table1[[#This Row],[Date]],"mmm")</f>
        <v>Feb</v>
      </c>
    </row>
    <row r="755" spans="1:9" x14ac:dyDescent="0.3">
      <c r="A755" s="3" t="s">
        <v>789</v>
      </c>
      <c r="B755" s="3" t="s">
        <v>16</v>
      </c>
      <c r="C755" s="3" t="s">
        <v>17</v>
      </c>
      <c r="D755" s="3">
        <v>2</v>
      </c>
      <c r="E755" s="4">
        <v>480.3</v>
      </c>
      <c r="F755" s="4">
        <f t="shared" si="11"/>
        <v>960.6</v>
      </c>
      <c r="G755" s="3" t="s">
        <v>22</v>
      </c>
      <c r="H755" s="5">
        <v>46161</v>
      </c>
      <c r="I755" s="3" t="str">
        <f>TEXT(Table1[[#This Row],[Date]],"mmm")</f>
        <v>May</v>
      </c>
    </row>
    <row r="756" spans="1:9" x14ac:dyDescent="0.3">
      <c r="A756" s="3" t="s">
        <v>790</v>
      </c>
      <c r="B756" s="3" t="s">
        <v>24</v>
      </c>
      <c r="C756" s="3" t="s">
        <v>25</v>
      </c>
      <c r="D756" s="3">
        <v>2</v>
      </c>
      <c r="E756" s="4">
        <v>797.47</v>
      </c>
      <c r="F756" s="4">
        <f t="shared" si="11"/>
        <v>1594.94</v>
      </c>
      <c r="G756" s="3" t="s">
        <v>18</v>
      </c>
      <c r="H756" s="5">
        <v>46037</v>
      </c>
      <c r="I756" s="3" t="str">
        <f>TEXT(Table1[[#This Row],[Date]],"mmm")</f>
        <v>Jan</v>
      </c>
    </row>
    <row r="757" spans="1:9" x14ac:dyDescent="0.3">
      <c r="A757" s="3" t="s">
        <v>791</v>
      </c>
      <c r="B757" s="3" t="s">
        <v>12</v>
      </c>
      <c r="C757" s="3" t="s">
        <v>13</v>
      </c>
      <c r="D757" s="3">
        <v>5</v>
      </c>
      <c r="E757" s="4">
        <v>1415.64</v>
      </c>
      <c r="F757" s="4">
        <f t="shared" si="11"/>
        <v>7078.2000000000007</v>
      </c>
      <c r="G757" s="3" t="s">
        <v>14</v>
      </c>
      <c r="H757" s="5">
        <v>46145</v>
      </c>
      <c r="I757" s="3" t="str">
        <f>TEXT(Table1[[#This Row],[Date]],"mmm")</f>
        <v>May</v>
      </c>
    </row>
    <row r="758" spans="1:9" x14ac:dyDescent="0.3">
      <c r="A758" s="3" t="s">
        <v>792</v>
      </c>
      <c r="B758" s="3" t="s">
        <v>91</v>
      </c>
      <c r="C758" s="3" t="s">
        <v>13</v>
      </c>
      <c r="D758" s="3">
        <v>3</v>
      </c>
      <c r="E758" s="4">
        <v>59596.86</v>
      </c>
      <c r="F758" s="4">
        <f t="shared" si="11"/>
        <v>178790.58000000002</v>
      </c>
      <c r="G758" s="3" t="s">
        <v>29</v>
      </c>
      <c r="H758" s="5">
        <v>46056</v>
      </c>
      <c r="I758" s="3" t="str">
        <f>TEXT(Table1[[#This Row],[Date]],"mmm")</f>
        <v>Feb</v>
      </c>
    </row>
    <row r="759" spans="1:9" x14ac:dyDescent="0.3">
      <c r="A759" s="3" t="s">
        <v>793</v>
      </c>
      <c r="B759" s="3" t="s">
        <v>55</v>
      </c>
      <c r="C759" s="3" t="s">
        <v>25</v>
      </c>
      <c r="D759" s="3">
        <v>2</v>
      </c>
      <c r="E759" s="4">
        <v>2708.31</v>
      </c>
      <c r="F759" s="4">
        <f t="shared" si="11"/>
        <v>5416.62</v>
      </c>
      <c r="G759" s="3" t="s">
        <v>32</v>
      </c>
      <c r="H759" s="5">
        <v>46038</v>
      </c>
      <c r="I759" s="3" t="str">
        <f>TEXT(Table1[[#This Row],[Date]],"mmm")</f>
        <v>Jan</v>
      </c>
    </row>
    <row r="760" spans="1:9" x14ac:dyDescent="0.3">
      <c r="A760" s="3" t="s">
        <v>794</v>
      </c>
      <c r="B760" s="3" t="s">
        <v>91</v>
      </c>
      <c r="C760" s="3" t="s">
        <v>13</v>
      </c>
      <c r="D760" s="3">
        <v>2</v>
      </c>
      <c r="E760" s="4">
        <v>55952.7</v>
      </c>
      <c r="F760" s="4">
        <f t="shared" si="11"/>
        <v>111905.4</v>
      </c>
      <c r="G760" s="3" t="s">
        <v>26</v>
      </c>
      <c r="H760" s="5">
        <v>46051</v>
      </c>
      <c r="I760" s="3" t="str">
        <f>TEXT(Table1[[#This Row],[Date]],"mmm")</f>
        <v>Jan</v>
      </c>
    </row>
    <row r="761" spans="1:9" x14ac:dyDescent="0.3">
      <c r="A761" s="3" t="s">
        <v>795</v>
      </c>
      <c r="B761" s="3" t="s">
        <v>38</v>
      </c>
      <c r="C761" s="3" t="s">
        <v>39</v>
      </c>
      <c r="D761" s="3">
        <v>5</v>
      </c>
      <c r="E761" s="4">
        <v>6968.87</v>
      </c>
      <c r="F761" s="4">
        <f t="shared" si="11"/>
        <v>34844.35</v>
      </c>
      <c r="G761" s="3" t="s">
        <v>18</v>
      </c>
      <c r="H761" s="5">
        <v>46118</v>
      </c>
      <c r="I761" s="3" t="str">
        <f>TEXT(Table1[[#This Row],[Date]],"mmm")</f>
        <v>Apr</v>
      </c>
    </row>
    <row r="762" spans="1:9" x14ac:dyDescent="0.3">
      <c r="A762" s="3" t="s">
        <v>796</v>
      </c>
      <c r="B762" s="3" t="s">
        <v>21</v>
      </c>
      <c r="C762" s="3" t="s">
        <v>13</v>
      </c>
      <c r="D762" s="3">
        <v>4</v>
      </c>
      <c r="E762" s="4">
        <v>28481.69</v>
      </c>
      <c r="F762" s="4">
        <f t="shared" si="11"/>
        <v>113926.76</v>
      </c>
      <c r="G762" s="3" t="s">
        <v>32</v>
      </c>
      <c r="H762" s="5">
        <v>46100</v>
      </c>
      <c r="I762" s="3" t="str">
        <f>TEXT(Table1[[#This Row],[Date]],"mmm")</f>
        <v>Mar</v>
      </c>
    </row>
    <row r="763" spans="1:9" x14ac:dyDescent="0.3">
      <c r="A763" s="3" t="s">
        <v>797</v>
      </c>
      <c r="B763" s="3" t="s">
        <v>55</v>
      </c>
      <c r="C763" s="3" t="s">
        <v>25</v>
      </c>
      <c r="D763" s="3">
        <v>2</v>
      </c>
      <c r="E763" s="4">
        <v>2736.84</v>
      </c>
      <c r="F763" s="4">
        <f t="shared" si="11"/>
        <v>5473.68</v>
      </c>
      <c r="G763" s="3" t="s">
        <v>48</v>
      </c>
      <c r="H763" s="5">
        <v>46186</v>
      </c>
      <c r="I763" s="3" t="str">
        <f>TEXT(Table1[[#This Row],[Date]],"mmm")</f>
        <v>Jun</v>
      </c>
    </row>
    <row r="764" spans="1:9" x14ac:dyDescent="0.3">
      <c r="A764" s="3" t="s">
        <v>798</v>
      </c>
      <c r="B764" s="3" t="s">
        <v>44</v>
      </c>
      <c r="C764" s="3" t="s">
        <v>39</v>
      </c>
      <c r="D764" s="3">
        <v>3</v>
      </c>
      <c r="E764" s="4">
        <v>3271.94</v>
      </c>
      <c r="F764" s="4">
        <f t="shared" si="11"/>
        <v>9815.82</v>
      </c>
      <c r="G764" s="3" t="s">
        <v>14</v>
      </c>
      <c r="H764" s="5">
        <v>46200</v>
      </c>
      <c r="I764" s="3" t="str">
        <f>TEXT(Table1[[#This Row],[Date]],"mmm")</f>
        <v>Jun</v>
      </c>
    </row>
    <row r="765" spans="1:9" x14ac:dyDescent="0.3">
      <c r="A765" s="3" t="s">
        <v>799</v>
      </c>
      <c r="B765" s="3" t="s">
        <v>16</v>
      </c>
      <c r="C765" s="3" t="s">
        <v>17</v>
      </c>
      <c r="D765" s="3">
        <v>3</v>
      </c>
      <c r="E765" s="4">
        <v>425.09</v>
      </c>
      <c r="F765" s="4">
        <f t="shared" si="11"/>
        <v>1275.27</v>
      </c>
      <c r="G765" s="3" t="s">
        <v>50</v>
      </c>
      <c r="H765" s="5">
        <v>46067</v>
      </c>
      <c r="I765" s="3" t="str">
        <f>TEXT(Table1[[#This Row],[Date]],"mmm")</f>
        <v>Feb</v>
      </c>
    </row>
    <row r="766" spans="1:9" x14ac:dyDescent="0.3">
      <c r="A766" s="3" t="s">
        <v>800</v>
      </c>
      <c r="B766" s="3" t="s">
        <v>28</v>
      </c>
      <c r="C766" s="3" t="s">
        <v>9</v>
      </c>
      <c r="D766" s="3">
        <v>3</v>
      </c>
      <c r="E766" s="4">
        <v>5232.95</v>
      </c>
      <c r="F766" s="4">
        <f t="shared" si="11"/>
        <v>15698.849999999999</v>
      </c>
      <c r="G766" s="3" t="s">
        <v>10</v>
      </c>
      <c r="H766" s="5">
        <v>46055</v>
      </c>
      <c r="I766" s="3" t="str">
        <f>TEXT(Table1[[#This Row],[Date]],"mmm")</f>
        <v>Feb</v>
      </c>
    </row>
    <row r="767" spans="1:9" x14ac:dyDescent="0.3">
      <c r="A767" s="3" t="s">
        <v>801</v>
      </c>
      <c r="B767" s="3" t="s">
        <v>72</v>
      </c>
      <c r="C767" s="3" t="s">
        <v>13</v>
      </c>
      <c r="D767" s="3">
        <v>1</v>
      </c>
      <c r="E767" s="4">
        <v>2397.4699999999998</v>
      </c>
      <c r="F767" s="4">
        <f t="shared" si="11"/>
        <v>2397.4699999999998</v>
      </c>
      <c r="G767" s="3" t="s">
        <v>50</v>
      </c>
      <c r="H767" s="5">
        <v>46123</v>
      </c>
      <c r="I767" s="3" t="str">
        <f>TEXT(Table1[[#This Row],[Date]],"mmm")</f>
        <v>Apr</v>
      </c>
    </row>
    <row r="768" spans="1:9" x14ac:dyDescent="0.3">
      <c r="A768" s="3" t="s">
        <v>802</v>
      </c>
      <c r="B768" s="3" t="s">
        <v>38</v>
      </c>
      <c r="C768" s="3" t="s">
        <v>39</v>
      </c>
      <c r="D768" s="3">
        <v>5</v>
      </c>
      <c r="E768" s="4">
        <v>5892.1</v>
      </c>
      <c r="F768" s="4">
        <f t="shared" si="11"/>
        <v>29460.5</v>
      </c>
      <c r="G768" s="3" t="s">
        <v>50</v>
      </c>
      <c r="H768" s="5">
        <v>46104</v>
      </c>
      <c r="I768" s="3" t="str">
        <f>TEXT(Table1[[#This Row],[Date]],"mmm")</f>
        <v>Mar</v>
      </c>
    </row>
    <row r="769" spans="1:9" x14ac:dyDescent="0.3">
      <c r="A769" s="3" t="s">
        <v>803</v>
      </c>
      <c r="B769" s="3" t="s">
        <v>62</v>
      </c>
      <c r="C769" s="3" t="s">
        <v>25</v>
      </c>
      <c r="D769" s="3">
        <v>5</v>
      </c>
      <c r="E769" s="4">
        <v>1887.41</v>
      </c>
      <c r="F769" s="4">
        <f t="shared" si="11"/>
        <v>9437.0500000000011</v>
      </c>
      <c r="G769" s="3" t="s">
        <v>50</v>
      </c>
      <c r="H769" s="5">
        <v>46049</v>
      </c>
      <c r="I769" s="3" t="str">
        <f>TEXT(Table1[[#This Row],[Date]],"mmm")</f>
        <v>Jan</v>
      </c>
    </row>
    <row r="770" spans="1:9" x14ac:dyDescent="0.3">
      <c r="A770" s="3" t="s">
        <v>804</v>
      </c>
      <c r="B770" s="3" t="s">
        <v>44</v>
      </c>
      <c r="C770" s="3" t="s">
        <v>39</v>
      </c>
      <c r="D770" s="3">
        <v>2</v>
      </c>
      <c r="E770" s="4">
        <v>3381.82</v>
      </c>
      <c r="F770" s="4">
        <f t="shared" si="11"/>
        <v>6763.64</v>
      </c>
      <c r="G770" s="3" t="s">
        <v>18</v>
      </c>
      <c r="H770" s="5">
        <v>46083</v>
      </c>
      <c r="I770" s="3" t="str">
        <f>TEXT(Table1[[#This Row],[Date]],"mmm")</f>
        <v>Mar</v>
      </c>
    </row>
    <row r="771" spans="1:9" x14ac:dyDescent="0.3">
      <c r="A771" s="3" t="s">
        <v>805</v>
      </c>
      <c r="B771" s="3" t="s">
        <v>55</v>
      </c>
      <c r="C771" s="3" t="s">
        <v>25</v>
      </c>
      <c r="D771" s="3">
        <v>3</v>
      </c>
      <c r="E771" s="4">
        <v>2333.0100000000002</v>
      </c>
      <c r="F771" s="4">
        <f t="shared" ref="F771:F834" si="12">D771*E771</f>
        <v>6999.0300000000007</v>
      </c>
      <c r="G771" s="3" t="s">
        <v>18</v>
      </c>
      <c r="H771" s="5">
        <v>46194</v>
      </c>
      <c r="I771" s="3" t="str">
        <f>TEXT(Table1[[#This Row],[Date]],"mmm")</f>
        <v>Jun</v>
      </c>
    </row>
    <row r="772" spans="1:9" x14ac:dyDescent="0.3">
      <c r="A772" s="3" t="s">
        <v>806</v>
      </c>
      <c r="B772" s="3" t="s">
        <v>8</v>
      </c>
      <c r="C772" s="3" t="s">
        <v>9</v>
      </c>
      <c r="D772" s="3">
        <v>3</v>
      </c>
      <c r="E772" s="4">
        <v>1780.79</v>
      </c>
      <c r="F772" s="4">
        <f t="shared" si="12"/>
        <v>5342.37</v>
      </c>
      <c r="G772" s="3" t="s">
        <v>10</v>
      </c>
      <c r="H772" s="5">
        <v>46076</v>
      </c>
      <c r="I772" s="3" t="str">
        <f>TEXT(Table1[[#This Row],[Date]],"mmm")</f>
        <v>Feb</v>
      </c>
    </row>
    <row r="773" spans="1:9" x14ac:dyDescent="0.3">
      <c r="A773" s="3" t="s">
        <v>807</v>
      </c>
      <c r="B773" s="3" t="s">
        <v>12</v>
      </c>
      <c r="C773" s="3" t="s">
        <v>13</v>
      </c>
      <c r="D773" s="3">
        <v>1</v>
      </c>
      <c r="E773" s="4">
        <v>1455.14</v>
      </c>
      <c r="F773" s="4">
        <f t="shared" si="12"/>
        <v>1455.14</v>
      </c>
      <c r="G773" s="3" t="s">
        <v>18</v>
      </c>
      <c r="H773" s="5">
        <v>46023</v>
      </c>
      <c r="I773" s="3" t="str">
        <f>TEXT(Table1[[#This Row],[Date]],"mmm")</f>
        <v>Jan</v>
      </c>
    </row>
    <row r="774" spans="1:9" x14ac:dyDescent="0.3">
      <c r="A774" s="3" t="s">
        <v>808</v>
      </c>
      <c r="B774" s="3" t="s">
        <v>91</v>
      </c>
      <c r="C774" s="3" t="s">
        <v>13</v>
      </c>
      <c r="D774" s="3">
        <v>4</v>
      </c>
      <c r="E774" s="4">
        <v>54320.42</v>
      </c>
      <c r="F774" s="4">
        <f t="shared" si="12"/>
        <v>217281.68</v>
      </c>
      <c r="G774" s="3" t="s">
        <v>48</v>
      </c>
      <c r="H774" s="5">
        <v>46065</v>
      </c>
      <c r="I774" s="3" t="str">
        <f>TEXT(Table1[[#This Row],[Date]],"mmm")</f>
        <v>Feb</v>
      </c>
    </row>
    <row r="775" spans="1:9" x14ac:dyDescent="0.3">
      <c r="A775" s="3" t="s">
        <v>809</v>
      </c>
      <c r="B775" s="3" t="s">
        <v>28</v>
      </c>
      <c r="C775" s="3" t="s">
        <v>9</v>
      </c>
      <c r="D775" s="3">
        <v>4</v>
      </c>
      <c r="E775" s="4">
        <v>5380.69</v>
      </c>
      <c r="F775" s="4">
        <f t="shared" si="12"/>
        <v>21522.76</v>
      </c>
      <c r="G775" s="3" t="s">
        <v>32</v>
      </c>
      <c r="H775" s="5">
        <v>46162</v>
      </c>
      <c r="I775" s="3" t="str">
        <f>TEXT(Table1[[#This Row],[Date]],"mmm")</f>
        <v>May</v>
      </c>
    </row>
    <row r="776" spans="1:9" x14ac:dyDescent="0.3">
      <c r="A776" s="3" t="s">
        <v>810</v>
      </c>
      <c r="B776" s="3" t="s">
        <v>28</v>
      </c>
      <c r="C776" s="3" t="s">
        <v>9</v>
      </c>
      <c r="D776" s="3">
        <v>1</v>
      </c>
      <c r="E776" s="4">
        <v>5327.74</v>
      </c>
      <c r="F776" s="4">
        <f t="shared" si="12"/>
        <v>5327.74</v>
      </c>
      <c r="G776" s="3" t="s">
        <v>50</v>
      </c>
      <c r="H776" s="5">
        <v>46189</v>
      </c>
      <c r="I776" s="3" t="str">
        <f>TEXT(Table1[[#This Row],[Date]],"mmm")</f>
        <v>Jun</v>
      </c>
    </row>
    <row r="777" spans="1:9" x14ac:dyDescent="0.3">
      <c r="A777" s="3" t="s">
        <v>811</v>
      </c>
      <c r="B777" s="3" t="s">
        <v>62</v>
      </c>
      <c r="C777" s="3" t="s">
        <v>25</v>
      </c>
      <c r="D777" s="3">
        <v>2</v>
      </c>
      <c r="E777" s="4">
        <v>1864.13</v>
      </c>
      <c r="F777" s="4">
        <f t="shared" si="12"/>
        <v>3728.26</v>
      </c>
      <c r="G777" s="3" t="s">
        <v>18</v>
      </c>
      <c r="H777" s="5">
        <v>46031</v>
      </c>
      <c r="I777" s="3" t="str">
        <f>TEXT(Table1[[#This Row],[Date]],"mmm")</f>
        <v>Jan</v>
      </c>
    </row>
    <row r="778" spans="1:9" x14ac:dyDescent="0.3">
      <c r="A778" s="3" t="s">
        <v>812</v>
      </c>
      <c r="B778" s="3" t="s">
        <v>24</v>
      </c>
      <c r="C778" s="3" t="s">
        <v>25</v>
      </c>
      <c r="D778" s="3">
        <v>1</v>
      </c>
      <c r="E778" s="4">
        <v>770.03</v>
      </c>
      <c r="F778" s="4">
        <f t="shared" si="12"/>
        <v>770.03</v>
      </c>
      <c r="G778" s="3" t="s">
        <v>18</v>
      </c>
      <c r="H778" s="5">
        <v>46041</v>
      </c>
      <c r="I778" s="3" t="str">
        <f>TEXT(Table1[[#This Row],[Date]],"mmm")</f>
        <v>Jan</v>
      </c>
    </row>
    <row r="779" spans="1:9" x14ac:dyDescent="0.3">
      <c r="A779" s="3" t="s">
        <v>813</v>
      </c>
      <c r="B779" s="3" t="s">
        <v>55</v>
      </c>
      <c r="C779" s="3" t="s">
        <v>25</v>
      </c>
      <c r="D779" s="3">
        <v>2</v>
      </c>
      <c r="E779" s="4">
        <v>2692.89</v>
      </c>
      <c r="F779" s="4">
        <f t="shared" si="12"/>
        <v>5385.78</v>
      </c>
      <c r="G779" s="3" t="s">
        <v>26</v>
      </c>
      <c r="H779" s="5">
        <v>46042</v>
      </c>
      <c r="I779" s="3" t="str">
        <f>TEXT(Table1[[#This Row],[Date]],"mmm")</f>
        <v>Jan</v>
      </c>
    </row>
    <row r="780" spans="1:9" x14ac:dyDescent="0.3">
      <c r="A780" s="3" t="s">
        <v>814</v>
      </c>
      <c r="B780" s="3" t="s">
        <v>80</v>
      </c>
      <c r="C780" s="3" t="s">
        <v>39</v>
      </c>
      <c r="D780" s="3">
        <v>1</v>
      </c>
      <c r="E780" s="4">
        <v>4063.88</v>
      </c>
      <c r="F780" s="4">
        <f t="shared" si="12"/>
        <v>4063.88</v>
      </c>
      <c r="G780" s="3" t="s">
        <v>50</v>
      </c>
      <c r="H780" s="5">
        <v>46146</v>
      </c>
      <c r="I780" s="3" t="str">
        <f>TEXT(Table1[[#This Row],[Date]],"mmm")</f>
        <v>May</v>
      </c>
    </row>
    <row r="781" spans="1:9" x14ac:dyDescent="0.3">
      <c r="A781" s="3" t="s">
        <v>815</v>
      </c>
      <c r="B781" s="3" t="s">
        <v>21</v>
      </c>
      <c r="C781" s="3" t="s">
        <v>13</v>
      </c>
      <c r="D781" s="3">
        <v>1</v>
      </c>
      <c r="E781" s="4">
        <v>27615.41</v>
      </c>
      <c r="F781" s="4">
        <f t="shared" si="12"/>
        <v>27615.41</v>
      </c>
      <c r="G781" s="3" t="s">
        <v>26</v>
      </c>
      <c r="H781" s="5">
        <v>46178</v>
      </c>
      <c r="I781" s="3" t="str">
        <f>TEXT(Table1[[#This Row],[Date]],"mmm")</f>
        <v>Jun</v>
      </c>
    </row>
    <row r="782" spans="1:9" x14ac:dyDescent="0.3">
      <c r="A782" s="3" t="s">
        <v>816</v>
      </c>
      <c r="B782" s="3" t="s">
        <v>28</v>
      </c>
      <c r="C782" s="3" t="s">
        <v>9</v>
      </c>
      <c r="D782" s="3">
        <v>2</v>
      </c>
      <c r="E782" s="4">
        <v>4552.6499999999996</v>
      </c>
      <c r="F782" s="4">
        <f t="shared" si="12"/>
        <v>9105.2999999999993</v>
      </c>
      <c r="G782" s="3" t="s">
        <v>32</v>
      </c>
      <c r="H782" s="5">
        <v>46075</v>
      </c>
      <c r="I782" s="3" t="str">
        <f>TEXT(Table1[[#This Row],[Date]],"mmm")</f>
        <v>Feb</v>
      </c>
    </row>
    <row r="783" spans="1:9" x14ac:dyDescent="0.3">
      <c r="A783" s="3" t="s">
        <v>817</v>
      </c>
      <c r="B783" s="3" t="s">
        <v>12</v>
      </c>
      <c r="C783" s="3" t="s">
        <v>13</v>
      </c>
      <c r="D783" s="3">
        <v>4</v>
      </c>
      <c r="E783" s="4">
        <v>1559.16</v>
      </c>
      <c r="F783" s="4">
        <f t="shared" si="12"/>
        <v>6236.64</v>
      </c>
      <c r="G783" s="3" t="s">
        <v>14</v>
      </c>
      <c r="H783" s="5">
        <v>46090</v>
      </c>
      <c r="I783" s="3" t="str">
        <f>TEXT(Table1[[#This Row],[Date]],"mmm")</f>
        <v>Mar</v>
      </c>
    </row>
    <row r="784" spans="1:9" x14ac:dyDescent="0.3">
      <c r="A784" s="3" t="s">
        <v>818</v>
      </c>
      <c r="B784" s="3" t="s">
        <v>8</v>
      </c>
      <c r="C784" s="3" t="s">
        <v>9</v>
      </c>
      <c r="D784" s="3">
        <v>3</v>
      </c>
      <c r="E784" s="4">
        <v>1727.06</v>
      </c>
      <c r="F784" s="4">
        <f t="shared" si="12"/>
        <v>5181.18</v>
      </c>
      <c r="G784" s="3" t="s">
        <v>18</v>
      </c>
      <c r="H784" s="5">
        <v>46035</v>
      </c>
      <c r="I784" s="3" t="str">
        <f>TEXT(Table1[[#This Row],[Date]],"mmm")</f>
        <v>Jan</v>
      </c>
    </row>
    <row r="785" spans="1:9" x14ac:dyDescent="0.3">
      <c r="A785" s="3" t="s">
        <v>819</v>
      </c>
      <c r="B785" s="3" t="s">
        <v>28</v>
      </c>
      <c r="C785" s="3" t="s">
        <v>9</v>
      </c>
      <c r="D785" s="3">
        <v>5</v>
      </c>
      <c r="E785" s="4">
        <v>5048.6499999999996</v>
      </c>
      <c r="F785" s="4">
        <f t="shared" si="12"/>
        <v>25243.25</v>
      </c>
      <c r="G785" s="3" t="s">
        <v>22</v>
      </c>
      <c r="H785" s="5">
        <v>46062</v>
      </c>
      <c r="I785" s="3" t="str">
        <f>TEXT(Table1[[#This Row],[Date]],"mmm")</f>
        <v>Feb</v>
      </c>
    </row>
    <row r="786" spans="1:9" x14ac:dyDescent="0.3">
      <c r="A786" s="3" t="s">
        <v>820</v>
      </c>
      <c r="B786" s="3" t="s">
        <v>91</v>
      </c>
      <c r="C786" s="3" t="s">
        <v>13</v>
      </c>
      <c r="D786" s="3">
        <v>3</v>
      </c>
      <c r="E786" s="4">
        <v>49541.97</v>
      </c>
      <c r="F786" s="4">
        <f t="shared" si="12"/>
        <v>148625.91</v>
      </c>
      <c r="G786" s="3" t="s">
        <v>18</v>
      </c>
      <c r="H786" s="5">
        <v>46098</v>
      </c>
      <c r="I786" s="3" t="str">
        <f>TEXT(Table1[[#This Row],[Date]],"mmm")</f>
        <v>Mar</v>
      </c>
    </row>
    <row r="787" spans="1:9" x14ac:dyDescent="0.3">
      <c r="A787" s="3" t="s">
        <v>821</v>
      </c>
      <c r="B787" s="3" t="s">
        <v>38</v>
      </c>
      <c r="C787" s="3" t="s">
        <v>39</v>
      </c>
      <c r="D787" s="3">
        <v>5</v>
      </c>
      <c r="E787" s="4">
        <v>6474.43</v>
      </c>
      <c r="F787" s="4">
        <f t="shared" si="12"/>
        <v>32372.15</v>
      </c>
      <c r="G787" s="3" t="s">
        <v>18</v>
      </c>
      <c r="H787" s="5">
        <v>46029</v>
      </c>
      <c r="I787" s="3" t="str">
        <f>TEXT(Table1[[#This Row],[Date]],"mmm")</f>
        <v>Jan</v>
      </c>
    </row>
    <row r="788" spans="1:9" x14ac:dyDescent="0.3">
      <c r="A788" s="3" t="s">
        <v>822</v>
      </c>
      <c r="B788" s="3" t="s">
        <v>12</v>
      </c>
      <c r="C788" s="3" t="s">
        <v>13</v>
      </c>
      <c r="D788" s="3">
        <v>2</v>
      </c>
      <c r="E788" s="4">
        <v>1541.46</v>
      </c>
      <c r="F788" s="4">
        <f t="shared" si="12"/>
        <v>3082.92</v>
      </c>
      <c r="G788" s="3" t="s">
        <v>18</v>
      </c>
      <c r="H788" s="5">
        <v>46144</v>
      </c>
      <c r="I788" s="3" t="str">
        <f>TEXT(Table1[[#This Row],[Date]],"mmm")</f>
        <v>May</v>
      </c>
    </row>
    <row r="789" spans="1:9" x14ac:dyDescent="0.3">
      <c r="A789" s="3" t="s">
        <v>823</v>
      </c>
      <c r="B789" s="3" t="s">
        <v>38</v>
      </c>
      <c r="C789" s="3" t="s">
        <v>39</v>
      </c>
      <c r="D789" s="3">
        <v>1</v>
      </c>
      <c r="E789" s="4">
        <v>6250.86</v>
      </c>
      <c r="F789" s="4">
        <f t="shared" si="12"/>
        <v>6250.86</v>
      </c>
      <c r="G789" s="3" t="s">
        <v>48</v>
      </c>
      <c r="H789" s="5">
        <v>46143</v>
      </c>
      <c r="I789" s="3" t="str">
        <f>TEXT(Table1[[#This Row],[Date]],"mmm")</f>
        <v>May</v>
      </c>
    </row>
    <row r="790" spans="1:9" x14ac:dyDescent="0.3">
      <c r="A790" s="3" t="s">
        <v>824</v>
      </c>
      <c r="B790" s="3" t="s">
        <v>44</v>
      </c>
      <c r="C790" s="3" t="s">
        <v>39</v>
      </c>
      <c r="D790" s="3">
        <v>3</v>
      </c>
      <c r="E790" s="4">
        <v>3213.8</v>
      </c>
      <c r="F790" s="4">
        <f t="shared" si="12"/>
        <v>9641.4000000000015</v>
      </c>
      <c r="G790" s="3" t="s">
        <v>14</v>
      </c>
      <c r="H790" s="5">
        <v>46122</v>
      </c>
      <c r="I790" s="3" t="str">
        <f>TEXT(Table1[[#This Row],[Date]],"mmm")</f>
        <v>Apr</v>
      </c>
    </row>
    <row r="791" spans="1:9" x14ac:dyDescent="0.3">
      <c r="A791" s="3" t="s">
        <v>825</v>
      </c>
      <c r="B791" s="3" t="s">
        <v>72</v>
      </c>
      <c r="C791" s="3" t="s">
        <v>13</v>
      </c>
      <c r="D791" s="3">
        <v>3</v>
      </c>
      <c r="E791" s="4">
        <v>2369.62</v>
      </c>
      <c r="F791" s="4">
        <f t="shared" si="12"/>
        <v>7108.86</v>
      </c>
      <c r="G791" s="3" t="s">
        <v>32</v>
      </c>
      <c r="H791" s="5">
        <v>46070</v>
      </c>
      <c r="I791" s="3" t="str">
        <f>TEXT(Table1[[#This Row],[Date]],"mmm")</f>
        <v>Feb</v>
      </c>
    </row>
    <row r="792" spans="1:9" x14ac:dyDescent="0.3">
      <c r="A792" s="3" t="s">
        <v>826</v>
      </c>
      <c r="B792" s="3" t="s">
        <v>44</v>
      </c>
      <c r="C792" s="3" t="s">
        <v>39</v>
      </c>
      <c r="D792" s="3">
        <v>1</v>
      </c>
      <c r="E792" s="4">
        <v>3334.31</v>
      </c>
      <c r="F792" s="4">
        <f t="shared" si="12"/>
        <v>3334.31</v>
      </c>
      <c r="G792" s="3" t="s">
        <v>22</v>
      </c>
      <c r="H792" s="5">
        <v>46090</v>
      </c>
      <c r="I792" s="3" t="str">
        <f>TEXT(Table1[[#This Row],[Date]],"mmm")</f>
        <v>Mar</v>
      </c>
    </row>
    <row r="793" spans="1:9" x14ac:dyDescent="0.3">
      <c r="A793" s="3" t="s">
        <v>827</v>
      </c>
      <c r="B793" s="3" t="s">
        <v>12</v>
      </c>
      <c r="C793" s="3" t="s">
        <v>13</v>
      </c>
      <c r="D793" s="3">
        <v>3</v>
      </c>
      <c r="E793" s="4">
        <v>1519.27</v>
      </c>
      <c r="F793" s="4">
        <f t="shared" si="12"/>
        <v>4557.8099999999995</v>
      </c>
      <c r="G793" s="3" t="s">
        <v>26</v>
      </c>
      <c r="H793" s="5">
        <v>46201</v>
      </c>
      <c r="I793" s="3" t="str">
        <f>TEXT(Table1[[#This Row],[Date]],"mmm")</f>
        <v>Jun</v>
      </c>
    </row>
    <row r="794" spans="1:9" x14ac:dyDescent="0.3">
      <c r="A794" s="3" t="s">
        <v>828</v>
      </c>
      <c r="B794" s="3" t="s">
        <v>8</v>
      </c>
      <c r="C794" s="3" t="s">
        <v>9</v>
      </c>
      <c r="D794" s="3">
        <v>1</v>
      </c>
      <c r="E794" s="4">
        <v>1650.85</v>
      </c>
      <c r="F794" s="4">
        <f t="shared" si="12"/>
        <v>1650.85</v>
      </c>
      <c r="G794" s="3" t="s">
        <v>32</v>
      </c>
      <c r="H794" s="5">
        <v>46161</v>
      </c>
      <c r="I794" s="3" t="str">
        <f>TEXT(Table1[[#This Row],[Date]],"mmm")</f>
        <v>May</v>
      </c>
    </row>
    <row r="795" spans="1:9" x14ac:dyDescent="0.3">
      <c r="A795" s="3" t="s">
        <v>829</v>
      </c>
      <c r="B795" s="3" t="s">
        <v>28</v>
      </c>
      <c r="C795" s="3" t="s">
        <v>9</v>
      </c>
      <c r="D795" s="3">
        <v>5</v>
      </c>
      <c r="E795" s="4">
        <v>4726.57</v>
      </c>
      <c r="F795" s="4">
        <f t="shared" si="12"/>
        <v>23632.85</v>
      </c>
      <c r="G795" s="3" t="s">
        <v>46</v>
      </c>
      <c r="H795" s="5">
        <v>46122</v>
      </c>
      <c r="I795" s="3" t="str">
        <f>TEXT(Table1[[#This Row],[Date]],"mmm")</f>
        <v>Apr</v>
      </c>
    </row>
    <row r="796" spans="1:9" x14ac:dyDescent="0.3">
      <c r="A796" s="3" t="s">
        <v>830</v>
      </c>
      <c r="B796" s="3" t="s">
        <v>38</v>
      </c>
      <c r="C796" s="3" t="s">
        <v>39</v>
      </c>
      <c r="D796" s="3">
        <v>5</v>
      </c>
      <c r="E796" s="4">
        <v>6394.22</v>
      </c>
      <c r="F796" s="4">
        <f t="shared" si="12"/>
        <v>31971.100000000002</v>
      </c>
      <c r="G796" s="3" t="s">
        <v>14</v>
      </c>
      <c r="H796" s="5">
        <v>46198</v>
      </c>
      <c r="I796" s="3" t="str">
        <f>TEXT(Table1[[#This Row],[Date]],"mmm")</f>
        <v>Jun</v>
      </c>
    </row>
    <row r="797" spans="1:9" x14ac:dyDescent="0.3">
      <c r="A797" s="3" t="s">
        <v>831</v>
      </c>
      <c r="B797" s="3" t="s">
        <v>38</v>
      </c>
      <c r="C797" s="3" t="s">
        <v>39</v>
      </c>
      <c r="D797" s="3">
        <v>4</v>
      </c>
      <c r="E797" s="4">
        <v>6594.53</v>
      </c>
      <c r="F797" s="4">
        <f t="shared" si="12"/>
        <v>26378.12</v>
      </c>
      <c r="G797" s="3" t="s">
        <v>29</v>
      </c>
      <c r="H797" s="5">
        <v>46144</v>
      </c>
      <c r="I797" s="3" t="str">
        <f>TEXT(Table1[[#This Row],[Date]],"mmm")</f>
        <v>May</v>
      </c>
    </row>
    <row r="798" spans="1:9" x14ac:dyDescent="0.3">
      <c r="A798" s="3" t="s">
        <v>832</v>
      </c>
      <c r="B798" s="3" t="s">
        <v>24</v>
      </c>
      <c r="C798" s="3" t="s">
        <v>25</v>
      </c>
      <c r="D798" s="3">
        <v>1</v>
      </c>
      <c r="E798" s="4">
        <v>782.19</v>
      </c>
      <c r="F798" s="4">
        <f t="shared" si="12"/>
        <v>782.19</v>
      </c>
      <c r="G798" s="3" t="s">
        <v>46</v>
      </c>
      <c r="H798" s="5">
        <v>46151</v>
      </c>
      <c r="I798" s="3" t="str">
        <f>TEXT(Table1[[#This Row],[Date]],"mmm")</f>
        <v>May</v>
      </c>
    </row>
    <row r="799" spans="1:9" x14ac:dyDescent="0.3">
      <c r="A799" s="3" t="s">
        <v>833</v>
      </c>
      <c r="B799" s="3" t="s">
        <v>16</v>
      </c>
      <c r="C799" s="3" t="s">
        <v>17</v>
      </c>
      <c r="D799" s="3">
        <v>5</v>
      </c>
      <c r="E799" s="4">
        <v>477.04</v>
      </c>
      <c r="F799" s="4">
        <f t="shared" si="12"/>
        <v>2385.2000000000003</v>
      </c>
      <c r="G799" s="3" t="s">
        <v>50</v>
      </c>
      <c r="H799" s="5">
        <v>46060</v>
      </c>
      <c r="I799" s="3" t="str">
        <f>TEXT(Table1[[#This Row],[Date]],"mmm")</f>
        <v>Feb</v>
      </c>
    </row>
    <row r="800" spans="1:9" x14ac:dyDescent="0.3">
      <c r="A800" s="3" t="s">
        <v>834</v>
      </c>
      <c r="B800" s="3" t="s">
        <v>31</v>
      </c>
      <c r="C800" s="3" t="s">
        <v>13</v>
      </c>
      <c r="D800" s="3">
        <v>4</v>
      </c>
      <c r="E800" s="4">
        <v>16822.36</v>
      </c>
      <c r="F800" s="4">
        <f t="shared" si="12"/>
        <v>67289.440000000002</v>
      </c>
      <c r="G800" s="3" t="s">
        <v>26</v>
      </c>
      <c r="H800" s="5">
        <v>46077</v>
      </c>
      <c r="I800" s="3" t="str">
        <f>TEXT(Table1[[#This Row],[Date]],"mmm")</f>
        <v>Feb</v>
      </c>
    </row>
    <row r="801" spans="1:9" x14ac:dyDescent="0.3">
      <c r="A801" s="3" t="s">
        <v>835</v>
      </c>
      <c r="B801" s="3" t="s">
        <v>62</v>
      </c>
      <c r="C801" s="3" t="s">
        <v>25</v>
      </c>
      <c r="D801" s="3">
        <v>2</v>
      </c>
      <c r="E801" s="4">
        <v>1849.55</v>
      </c>
      <c r="F801" s="4">
        <f t="shared" si="12"/>
        <v>3699.1</v>
      </c>
      <c r="G801" s="3" t="s">
        <v>48</v>
      </c>
      <c r="H801" s="5">
        <v>46043</v>
      </c>
      <c r="I801" s="3" t="str">
        <f>TEXT(Table1[[#This Row],[Date]],"mmm")</f>
        <v>Jan</v>
      </c>
    </row>
    <row r="802" spans="1:9" x14ac:dyDescent="0.3">
      <c r="A802" s="3" t="s">
        <v>836</v>
      </c>
      <c r="B802" s="3" t="s">
        <v>8</v>
      </c>
      <c r="C802" s="3" t="s">
        <v>9</v>
      </c>
      <c r="D802" s="3">
        <v>4</v>
      </c>
      <c r="E802" s="4">
        <v>1692.69</v>
      </c>
      <c r="F802" s="4">
        <f t="shared" si="12"/>
        <v>6770.76</v>
      </c>
      <c r="G802" s="3" t="s">
        <v>26</v>
      </c>
      <c r="H802" s="5">
        <v>46175</v>
      </c>
      <c r="I802" s="3" t="str">
        <f>TEXT(Table1[[#This Row],[Date]],"mmm")</f>
        <v>Jun</v>
      </c>
    </row>
    <row r="803" spans="1:9" x14ac:dyDescent="0.3">
      <c r="A803" s="3" t="s">
        <v>837</v>
      </c>
      <c r="B803" s="3" t="s">
        <v>24</v>
      </c>
      <c r="C803" s="3" t="s">
        <v>25</v>
      </c>
      <c r="D803" s="3">
        <v>3</v>
      </c>
      <c r="E803" s="4">
        <v>864.65</v>
      </c>
      <c r="F803" s="4">
        <f t="shared" si="12"/>
        <v>2593.9499999999998</v>
      </c>
      <c r="G803" s="3" t="s">
        <v>18</v>
      </c>
      <c r="H803" s="5">
        <v>46045</v>
      </c>
      <c r="I803" s="3" t="str">
        <f>TEXT(Table1[[#This Row],[Date]],"mmm")</f>
        <v>Jan</v>
      </c>
    </row>
    <row r="804" spans="1:9" x14ac:dyDescent="0.3">
      <c r="A804" s="3" t="s">
        <v>838</v>
      </c>
      <c r="B804" s="3" t="s">
        <v>28</v>
      </c>
      <c r="C804" s="3" t="s">
        <v>9</v>
      </c>
      <c r="D804" s="3">
        <v>5</v>
      </c>
      <c r="E804" s="4">
        <v>4896.38</v>
      </c>
      <c r="F804" s="4">
        <f t="shared" si="12"/>
        <v>24481.9</v>
      </c>
      <c r="G804" s="3" t="s">
        <v>32</v>
      </c>
      <c r="H804" s="5">
        <v>46093</v>
      </c>
      <c r="I804" s="3" t="str">
        <f>TEXT(Table1[[#This Row],[Date]],"mmm")</f>
        <v>Mar</v>
      </c>
    </row>
    <row r="805" spans="1:9" x14ac:dyDescent="0.3">
      <c r="A805" s="3" t="s">
        <v>839</v>
      </c>
      <c r="B805" s="3" t="s">
        <v>80</v>
      </c>
      <c r="C805" s="3" t="s">
        <v>39</v>
      </c>
      <c r="D805" s="3">
        <v>4</v>
      </c>
      <c r="E805" s="4">
        <v>4550.42</v>
      </c>
      <c r="F805" s="4">
        <f t="shared" si="12"/>
        <v>18201.68</v>
      </c>
      <c r="G805" s="3" t="s">
        <v>46</v>
      </c>
      <c r="H805" s="5">
        <v>46202</v>
      </c>
      <c r="I805" s="3" t="str">
        <f>TEXT(Table1[[#This Row],[Date]],"mmm")</f>
        <v>Jun</v>
      </c>
    </row>
    <row r="806" spans="1:9" x14ac:dyDescent="0.3">
      <c r="A806" s="3" t="s">
        <v>840</v>
      </c>
      <c r="B806" s="3" t="s">
        <v>16</v>
      </c>
      <c r="C806" s="3" t="s">
        <v>17</v>
      </c>
      <c r="D806" s="3">
        <v>5</v>
      </c>
      <c r="E806" s="4">
        <v>452.03</v>
      </c>
      <c r="F806" s="4">
        <f t="shared" si="12"/>
        <v>2260.1499999999996</v>
      </c>
      <c r="G806" s="3" t="s">
        <v>48</v>
      </c>
      <c r="H806" s="5">
        <v>46051</v>
      </c>
      <c r="I806" s="3" t="str">
        <f>TEXT(Table1[[#This Row],[Date]],"mmm")</f>
        <v>Jan</v>
      </c>
    </row>
    <row r="807" spans="1:9" x14ac:dyDescent="0.3">
      <c r="A807" s="3" t="s">
        <v>841</v>
      </c>
      <c r="B807" s="3" t="s">
        <v>28</v>
      </c>
      <c r="C807" s="3" t="s">
        <v>9</v>
      </c>
      <c r="D807" s="3">
        <v>2</v>
      </c>
      <c r="E807" s="4">
        <v>4647.2700000000004</v>
      </c>
      <c r="F807" s="4">
        <f t="shared" si="12"/>
        <v>9294.5400000000009</v>
      </c>
      <c r="G807" s="3" t="s">
        <v>50</v>
      </c>
      <c r="H807" s="5">
        <v>46172</v>
      </c>
      <c r="I807" s="3" t="str">
        <f>TEXT(Table1[[#This Row],[Date]],"mmm")</f>
        <v>May</v>
      </c>
    </row>
    <row r="808" spans="1:9" x14ac:dyDescent="0.3">
      <c r="A808" s="3" t="s">
        <v>842</v>
      </c>
      <c r="B808" s="3" t="s">
        <v>62</v>
      </c>
      <c r="C808" s="3" t="s">
        <v>25</v>
      </c>
      <c r="D808" s="3">
        <v>1</v>
      </c>
      <c r="E808" s="4">
        <v>2168.89</v>
      </c>
      <c r="F808" s="4">
        <f t="shared" si="12"/>
        <v>2168.89</v>
      </c>
      <c r="G808" s="3" t="s">
        <v>50</v>
      </c>
      <c r="H808" s="5">
        <v>46048</v>
      </c>
      <c r="I808" s="3" t="str">
        <f>TEXT(Table1[[#This Row],[Date]],"mmm")</f>
        <v>Jan</v>
      </c>
    </row>
    <row r="809" spans="1:9" x14ac:dyDescent="0.3">
      <c r="A809" s="3" t="s">
        <v>843</v>
      </c>
      <c r="B809" s="3" t="s">
        <v>62</v>
      </c>
      <c r="C809" s="3" t="s">
        <v>25</v>
      </c>
      <c r="D809" s="3">
        <v>3</v>
      </c>
      <c r="E809" s="4">
        <v>2145.92</v>
      </c>
      <c r="F809" s="4">
        <f t="shared" si="12"/>
        <v>6437.76</v>
      </c>
      <c r="G809" s="3" t="s">
        <v>32</v>
      </c>
      <c r="H809" s="5">
        <v>46128</v>
      </c>
      <c r="I809" s="3" t="str">
        <f>TEXT(Table1[[#This Row],[Date]],"mmm")</f>
        <v>Apr</v>
      </c>
    </row>
    <row r="810" spans="1:9" x14ac:dyDescent="0.3">
      <c r="A810" s="3" t="s">
        <v>844</v>
      </c>
      <c r="B810" s="3" t="s">
        <v>24</v>
      </c>
      <c r="C810" s="3" t="s">
        <v>25</v>
      </c>
      <c r="D810" s="3">
        <v>4</v>
      </c>
      <c r="E810" s="4">
        <v>823.74</v>
      </c>
      <c r="F810" s="4">
        <f t="shared" si="12"/>
        <v>3294.96</v>
      </c>
      <c r="G810" s="3" t="s">
        <v>50</v>
      </c>
      <c r="H810" s="5">
        <v>46178</v>
      </c>
      <c r="I810" s="3" t="str">
        <f>TEXT(Table1[[#This Row],[Date]],"mmm")</f>
        <v>Jun</v>
      </c>
    </row>
    <row r="811" spans="1:9" x14ac:dyDescent="0.3">
      <c r="A811" s="3" t="s">
        <v>845</v>
      </c>
      <c r="B811" s="3" t="s">
        <v>44</v>
      </c>
      <c r="C811" s="3" t="s">
        <v>39</v>
      </c>
      <c r="D811" s="3">
        <v>1</v>
      </c>
      <c r="E811" s="4">
        <v>3270.54</v>
      </c>
      <c r="F811" s="4">
        <f t="shared" si="12"/>
        <v>3270.54</v>
      </c>
      <c r="G811" s="3" t="s">
        <v>48</v>
      </c>
      <c r="H811" s="5">
        <v>46059</v>
      </c>
      <c r="I811" s="3" t="str">
        <f>TEXT(Table1[[#This Row],[Date]],"mmm")</f>
        <v>Feb</v>
      </c>
    </row>
    <row r="812" spans="1:9" x14ac:dyDescent="0.3">
      <c r="A812" s="3" t="s">
        <v>846</v>
      </c>
      <c r="B812" s="3" t="s">
        <v>16</v>
      </c>
      <c r="C812" s="3" t="s">
        <v>17</v>
      </c>
      <c r="D812" s="3">
        <v>5</v>
      </c>
      <c r="E812" s="4">
        <v>466.27</v>
      </c>
      <c r="F812" s="4">
        <f t="shared" si="12"/>
        <v>2331.35</v>
      </c>
      <c r="G812" s="3" t="s">
        <v>48</v>
      </c>
      <c r="H812" s="5">
        <v>46032</v>
      </c>
      <c r="I812" s="3" t="str">
        <f>TEXT(Table1[[#This Row],[Date]],"mmm")</f>
        <v>Jan</v>
      </c>
    </row>
    <row r="813" spans="1:9" x14ac:dyDescent="0.3">
      <c r="A813" s="3" t="s">
        <v>847</v>
      </c>
      <c r="B813" s="3" t="s">
        <v>28</v>
      </c>
      <c r="C813" s="3" t="s">
        <v>9</v>
      </c>
      <c r="D813" s="3">
        <v>3</v>
      </c>
      <c r="E813" s="4">
        <v>5189.4799999999996</v>
      </c>
      <c r="F813" s="4">
        <f t="shared" si="12"/>
        <v>15568.439999999999</v>
      </c>
      <c r="G813" s="3" t="s">
        <v>46</v>
      </c>
      <c r="H813" s="5">
        <v>46144</v>
      </c>
      <c r="I813" s="3" t="str">
        <f>TEXT(Table1[[#This Row],[Date]],"mmm")</f>
        <v>May</v>
      </c>
    </row>
    <row r="814" spans="1:9" x14ac:dyDescent="0.3">
      <c r="A814" s="3" t="s">
        <v>848</v>
      </c>
      <c r="B814" s="3" t="s">
        <v>24</v>
      </c>
      <c r="C814" s="3" t="s">
        <v>25</v>
      </c>
      <c r="D814" s="3">
        <v>3</v>
      </c>
      <c r="E814" s="4">
        <v>722.33</v>
      </c>
      <c r="F814" s="4">
        <f t="shared" si="12"/>
        <v>2166.9900000000002</v>
      </c>
      <c r="G814" s="3" t="s">
        <v>10</v>
      </c>
      <c r="H814" s="5">
        <v>46102</v>
      </c>
      <c r="I814" s="3" t="str">
        <f>TEXT(Table1[[#This Row],[Date]],"mmm")</f>
        <v>Mar</v>
      </c>
    </row>
    <row r="815" spans="1:9" x14ac:dyDescent="0.3">
      <c r="A815" s="3" t="s">
        <v>849</v>
      </c>
      <c r="B815" s="3" t="s">
        <v>24</v>
      </c>
      <c r="C815" s="3" t="s">
        <v>25</v>
      </c>
      <c r="D815" s="3">
        <v>4</v>
      </c>
      <c r="E815" s="4">
        <v>856.25</v>
      </c>
      <c r="F815" s="4">
        <f t="shared" si="12"/>
        <v>3425</v>
      </c>
      <c r="G815" s="3" t="s">
        <v>18</v>
      </c>
      <c r="H815" s="5">
        <v>46081</v>
      </c>
      <c r="I815" s="3" t="str">
        <f>TEXT(Table1[[#This Row],[Date]],"mmm")</f>
        <v>Feb</v>
      </c>
    </row>
    <row r="816" spans="1:9" x14ac:dyDescent="0.3">
      <c r="A816" s="3" t="s">
        <v>850</v>
      </c>
      <c r="B816" s="3" t="s">
        <v>72</v>
      </c>
      <c r="C816" s="3" t="s">
        <v>13</v>
      </c>
      <c r="D816" s="3">
        <v>3</v>
      </c>
      <c r="E816" s="4">
        <v>2408.66</v>
      </c>
      <c r="F816" s="4">
        <f t="shared" si="12"/>
        <v>7225.98</v>
      </c>
      <c r="G816" s="3" t="s">
        <v>22</v>
      </c>
      <c r="H816" s="5">
        <v>46105</v>
      </c>
      <c r="I816" s="3" t="str">
        <f>TEXT(Table1[[#This Row],[Date]],"mmm")</f>
        <v>Mar</v>
      </c>
    </row>
    <row r="817" spans="1:9" x14ac:dyDescent="0.3">
      <c r="A817" s="3" t="s">
        <v>851</v>
      </c>
      <c r="B817" s="3" t="s">
        <v>24</v>
      </c>
      <c r="C817" s="3" t="s">
        <v>25</v>
      </c>
      <c r="D817" s="3">
        <v>4</v>
      </c>
      <c r="E817" s="4">
        <v>815.78</v>
      </c>
      <c r="F817" s="4">
        <f t="shared" si="12"/>
        <v>3263.12</v>
      </c>
      <c r="G817" s="3" t="s">
        <v>18</v>
      </c>
      <c r="H817" s="5">
        <v>46071</v>
      </c>
      <c r="I817" s="3" t="str">
        <f>TEXT(Table1[[#This Row],[Date]],"mmm")</f>
        <v>Feb</v>
      </c>
    </row>
    <row r="818" spans="1:9" x14ac:dyDescent="0.3">
      <c r="A818" s="3" t="s">
        <v>852</v>
      </c>
      <c r="B818" s="3" t="s">
        <v>44</v>
      </c>
      <c r="C818" s="3" t="s">
        <v>39</v>
      </c>
      <c r="D818" s="3">
        <v>2</v>
      </c>
      <c r="E818" s="4">
        <v>3789.4</v>
      </c>
      <c r="F818" s="4">
        <f t="shared" si="12"/>
        <v>7578.8</v>
      </c>
      <c r="G818" s="3" t="s">
        <v>48</v>
      </c>
      <c r="H818" s="5">
        <v>46147</v>
      </c>
      <c r="I818" s="3" t="str">
        <f>TEXT(Table1[[#This Row],[Date]],"mmm")</f>
        <v>May</v>
      </c>
    </row>
    <row r="819" spans="1:9" x14ac:dyDescent="0.3">
      <c r="A819" s="3" t="s">
        <v>853</v>
      </c>
      <c r="B819" s="3" t="s">
        <v>62</v>
      </c>
      <c r="C819" s="3" t="s">
        <v>25</v>
      </c>
      <c r="D819" s="3">
        <v>5</v>
      </c>
      <c r="E819" s="4">
        <v>2145.8000000000002</v>
      </c>
      <c r="F819" s="4">
        <f t="shared" si="12"/>
        <v>10729</v>
      </c>
      <c r="G819" s="3" t="s">
        <v>46</v>
      </c>
      <c r="H819" s="5">
        <v>46154</v>
      </c>
      <c r="I819" s="3" t="str">
        <f>TEXT(Table1[[#This Row],[Date]],"mmm")</f>
        <v>May</v>
      </c>
    </row>
    <row r="820" spans="1:9" x14ac:dyDescent="0.3">
      <c r="A820" s="3" t="s">
        <v>854</v>
      </c>
      <c r="B820" s="3" t="s">
        <v>62</v>
      </c>
      <c r="C820" s="3" t="s">
        <v>25</v>
      </c>
      <c r="D820" s="3">
        <v>2</v>
      </c>
      <c r="E820" s="4">
        <v>1825.33</v>
      </c>
      <c r="F820" s="4">
        <f t="shared" si="12"/>
        <v>3650.66</v>
      </c>
      <c r="G820" s="3" t="s">
        <v>14</v>
      </c>
      <c r="H820" s="5">
        <v>46126</v>
      </c>
      <c r="I820" s="3" t="str">
        <f>TEXT(Table1[[#This Row],[Date]],"mmm")</f>
        <v>Apr</v>
      </c>
    </row>
    <row r="821" spans="1:9" x14ac:dyDescent="0.3">
      <c r="A821" s="3" t="s">
        <v>855</v>
      </c>
      <c r="B821" s="3" t="s">
        <v>72</v>
      </c>
      <c r="C821" s="3" t="s">
        <v>13</v>
      </c>
      <c r="D821" s="3">
        <v>5</v>
      </c>
      <c r="E821" s="4">
        <v>2366.91</v>
      </c>
      <c r="F821" s="4">
        <f t="shared" si="12"/>
        <v>11834.55</v>
      </c>
      <c r="G821" s="3" t="s">
        <v>46</v>
      </c>
      <c r="H821" s="5">
        <v>46067</v>
      </c>
      <c r="I821" s="3" t="str">
        <f>TEXT(Table1[[#This Row],[Date]],"mmm")</f>
        <v>Feb</v>
      </c>
    </row>
    <row r="822" spans="1:9" x14ac:dyDescent="0.3">
      <c r="A822" s="3" t="s">
        <v>856</v>
      </c>
      <c r="B822" s="3" t="s">
        <v>12</v>
      </c>
      <c r="C822" s="3" t="s">
        <v>13</v>
      </c>
      <c r="D822" s="3">
        <v>2</v>
      </c>
      <c r="E822" s="4">
        <v>1601.09</v>
      </c>
      <c r="F822" s="4">
        <f t="shared" si="12"/>
        <v>3202.18</v>
      </c>
      <c r="G822" s="3" t="s">
        <v>29</v>
      </c>
      <c r="H822" s="5">
        <v>46031</v>
      </c>
      <c r="I822" s="3" t="str">
        <f>TEXT(Table1[[#This Row],[Date]],"mmm")</f>
        <v>Jan</v>
      </c>
    </row>
    <row r="823" spans="1:9" x14ac:dyDescent="0.3">
      <c r="A823" s="3" t="s">
        <v>857</v>
      </c>
      <c r="B823" s="3" t="s">
        <v>44</v>
      </c>
      <c r="C823" s="3" t="s">
        <v>39</v>
      </c>
      <c r="D823" s="3">
        <v>1</v>
      </c>
      <c r="E823" s="4">
        <v>3792.62</v>
      </c>
      <c r="F823" s="4">
        <f t="shared" si="12"/>
        <v>3792.62</v>
      </c>
      <c r="G823" s="3" t="s">
        <v>29</v>
      </c>
      <c r="H823" s="5">
        <v>46093</v>
      </c>
      <c r="I823" s="3" t="str">
        <f>TEXT(Table1[[#This Row],[Date]],"mmm")</f>
        <v>Mar</v>
      </c>
    </row>
    <row r="824" spans="1:9" x14ac:dyDescent="0.3">
      <c r="A824" s="3" t="s">
        <v>858</v>
      </c>
      <c r="B824" s="3" t="s">
        <v>55</v>
      </c>
      <c r="C824" s="3" t="s">
        <v>25</v>
      </c>
      <c r="D824" s="3">
        <v>4</v>
      </c>
      <c r="E824" s="4">
        <v>2501.56</v>
      </c>
      <c r="F824" s="4">
        <f t="shared" si="12"/>
        <v>10006.24</v>
      </c>
      <c r="G824" s="3" t="s">
        <v>18</v>
      </c>
      <c r="H824" s="5">
        <v>46197</v>
      </c>
      <c r="I824" s="3" t="str">
        <f>TEXT(Table1[[#This Row],[Date]],"mmm")</f>
        <v>Jun</v>
      </c>
    </row>
    <row r="825" spans="1:9" x14ac:dyDescent="0.3">
      <c r="A825" s="3" t="s">
        <v>859</v>
      </c>
      <c r="B825" s="3" t="s">
        <v>91</v>
      </c>
      <c r="C825" s="3" t="s">
        <v>13</v>
      </c>
      <c r="D825" s="3">
        <v>2</v>
      </c>
      <c r="E825" s="4">
        <v>53597.13</v>
      </c>
      <c r="F825" s="4">
        <f t="shared" si="12"/>
        <v>107194.26</v>
      </c>
      <c r="G825" s="3" t="s">
        <v>50</v>
      </c>
      <c r="H825" s="5">
        <v>46137</v>
      </c>
      <c r="I825" s="3" t="str">
        <f>TEXT(Table1[[#This Row],[Date]],"mmm")</f>
        <v>Apr</v>
      </c>
    </row>
    <row r="826" spans="1:9" x14ac:dyDescent="0.3">
      <c r="A826" s="3" t="s">
        <v>860</v>
      </c>
      <c r="B826" s="3" t="s">
        <v>72</v>
      </c>
      <c r="C826" s="3" t="s">
        <v>13</v>
      </c>
      <c r="D826" s="3">
        <v>4</v>
      </c>
      <c r="E826" s="4">
        <v>2238.23</v>
      </c>
      <c r="F826" s="4">
        <f t="shared" si="12"/>
        <v>8952.92</v>
      </c>
      <c r="G826" s="3" t="s">
        <v>32</v>
      </c>
      <c r="H826" s="5">
        <v>46111</v>
      </c>
      <c r="I826" s="3" t="str">
        <f>TEXT(Table1[[#This Row],[Date]],"mmm")</f>
        <v>Mar</v>
      </c>
    </row>
    <row r="827" spans="1:9" x14ac:dyDescent="0.3">
      <c r="A827" s="3" t="s">
        <v>861</v>
      </c>
      <c r="B827" s="3" t="s">
        <v>72</v>
      </c>
      <c r="C827" s="3" t="s">
        <v>13</v>
      </c>
      <c r="D827" s="3">
        <v>3</v>
      </c>
      <c r="E827" s="4">
        <v>2309.54</v>
      </c>
      <c r="F827" s="4">
        <f t="shared" si="12"/>
        <v>6928.62</v>
      </c>
      <c r="G827" s="3" t="s">
        <v>18</v>
      </c>
      <c r="H827" s="5">
        <v>46095</v>
      </c>
      <c r="I827" s="3" t="str">
        <f>TEXT(Table1[[#This Row],[Date]],"mmm")</f>
        <v>Mar</v>
      </c>
    </row>
    <row r="828" spans="1:9" x14ac:dyDescent="0.3">
      <c r="A828" s="3" t="s">
        <v>862</v>
      </c>
      <c r="B828" s="3" t="s">
        <v>91</v>
      </c>
      <c r="C828" s="3" t="s">
        <v>13</v>
      </c>
      <c r="D828" s="3">
        <v>4</v>
      </c>
      <c r="E828" s="4">
        <v>50046.16</v>
      </c>
      <c r="F828" s="4">
        <f t="shared" si="12"/>
        <v>200184.64</v>
      </c>
      <c r="G828" s="3" t="s">
        <v>50</v>
      </c>
      <c r="H828" s="5">
        <v>46077</v>
      </c>
      <c r="I828" s="3" t="str">
        <f>TEXT(Table1[[#This Row],[Date]],"mmm")</f>
        <v>Feb</v>
      </c>
    </row>
    <row r="829" spans="1:9" x14ac:dyDescent="0.3">
      <c r="A829" s="3" t="s">
        <v>863</v>
      </c>
      <c r="B829" s="3" t="s">
        <v>38</v>
      </c>
      <c r="C829" s="3" t="s">
        <v>39</v>
      </c>
      <c r="D829" s="3">
        <v>2</v>
      </c>
      <c r="E829" s="4">
        <v>6691.59</v>
      </c>
      <c r="F829" s="4">
        <f t="shared" si="12"/>
        <v>13383.18</v>
      </c>
      <c r="G829" s="3" t="s">
        <v>29</v>
      </c>
      <c r="H829" s="5">
        <v>46091</v>
      </c>
      <c r="I829" s="3" t="str">
        <f>TEXT(Table1[[#This Row],[Date]],"mmm")</f>
        <v>Mar</v>
      </c>
    </row>
    <row r="830" spans="1:9" x14ac:dyDescent="0.3">
      <c r="A830" s="3" t="s">
        <v>864</v>
      </c>
      <c r="B830" s="3" t="s">
        <v>8</v>
      </c>
      <c r="C830" s="3" t="s">
        <v>9</v>
      </c>
      <c r="D830" s="3">
        <v>4</v>
      </c>
      <c r="E830" s="4">
        <v>1804.78</v>
      </c>
      <c r="F830" s="4">
        <f t="shared" si="12"/>
        <v>7219.12</v>
      </c>
      <c r="G830" s="3" t="s">
        <v>46</v>
      </c>
      <c r="H830" s="5">
        <v>46144</v>
      </c>
      <c r="I830" s="3" t="str">
        <f>TEXT(Table1[[#This Row],[Date]],"mmm")</f>
        <v>May</v>
      </c>
    </row>
    <row r="831" spans="1:9" x14ac:dyDescent="0.3">
      <c r="A831" s="3" t="s">
        <v>865</v>
      </c>
      <c r="B831" s="3" t="s">
        <v>72</v>
      </c>
      <c r="C831" s="3" t="s">
        <v>13</v>
      </c>
      <c r="D831" s="3">
        <v>2</v>
      </c>
      <c r="E831" s="4">
        <v>2244.5</v>
      </c>
      <c r="F831" s="4">
        <f t="shared" si="12"/>
        <v>4489</v>
      </c>
      <c r="G831" s="3" t="s">
        <v>46</v>
      </c>
      <c r="H831" s="5">
        <v>46080</v>
      </c>
      <c r="I831" s="3" t="str">
        <f>TEXT(Table1[[#This Row],[Date]],"mmm")</f>
        <v>Feb</v>
      </c>
    </row>
    <row r="832" spans="1:9" x14ac:dyDescent="0.3">
      <c r="A832" s="3" t="s">
        <v>866</v>
      </c>
      <c r="B832" s="3" t="s">
        <v>24</v>
      </c>
      <c r="C832" s="3" t="s">
        <v>25</v>
      </c>
      <c r="D832" s="3">
        <v>5</v>
      </c>
      <c r="E832" s="4">
        <v>847.75</v>
      </c>
      <c r="F832" s="4">
        <f t="shared" si="12"/>
        <v>4238.75</v>
      </c>
      <c r="G832" s="3" t="s">
        <v>10</v>
      </c>
      <c r="H832" s="5">
        <v>46187</v>
      </c>
      <c r="I832" s="3" t="str">
        <f>TEXT(Table1[[#This Row],[Date]],"mmm")</f>
        <v>Jun</v>
      </c>
    </row>
    <row r="833" spans="1:9" x14ac:dyDescent="0.3">
      <c r="A833" s="3" t="s">
        <v>867</v>
      </c>
      <c r="B833" s="3" t="s">
        <v>24</v>
      </c>
      <c r="C833" s="3" t="s">
        <v>25</v>
      </c>
      <c r="D833" s="3">
        <v>4</v>
      </c>
      <c r="E833" s="4">
        <v>862.2</v>
      </c>
      <c r="F833" s="4">
        <f t="shared" si="12"/>
        <v>3448.8</v>
      </c>
      <c r="G833" s="3" t="s">
        <v>32</v>
      </c>
      <c r="H833" s="5">
        <v>46140</v>
      </c>
      <c r="I833" s="3" t="str">
        <f>TEXT(Table1[[#This Row],[Date]],"mmm")</f>
        <v>Apr</v>
      </c>
    </row>
    <row r="834" spans="1:9" x14ac:dyDescent="0.3">
      <c r="A834" s="3" t="s">
        <v>868</v>
      </c>
      <c r="B834" s="3" t="s">
        <v>24</v>
      </c>
      <c r="C834" s="3" t="s">
        <v>25</v>
      </c>
      <c r="D834" s="3">
        <v>2</v>
      </c>
      <c r="E834" s="4">
        <v>793.68</v>
      </c>
      <c r="F834" s="4">
        <f t="shared" si="12"/>
        <v>1587.36</v>
      </c>
      <c r="G834" s="3" t="s">
        <v>14</v>
      </c>
      <c r="H834" s="5">
        <v>46182</v>
      </c>
      <c r="I834" s="3" t="str">
        <f>TEXT(Table1[[#This Row],[Date]],"mmm")</f>
        <v>Jun</v>
      </c>
    </row>
    <row r="835" spans="1:9" x14ac:dyDescent="0.3">
      <c r="A835" s="3" t="s">
        <v>869</v>
      </c>
      <c r="B835" s="3" t="s">
        <v>28</v>
      </c>
      <c r="C835" s="3" t="s">
        <v>9</v>
      </c>
      <c r="D835" s="3">
        <v>5</v>
      </c>
      <c r="E835" s="4">
        <v>4601.3900000000003</v>
      </c>
      <c r="F835" s="4">
        <f t="shared" ref="F835:F898" si="13">D835*E835</f>
        <v>23006.95</v>
      </c>
      <c r="G835" s="3" t="s">
        <v>14</v>
      </c>
      <c r="H835" s="5">
        <v>46192</v>
      </c>
      <c r="I835" s="3" t="str">
        <f>TEXT(Table1[[#This Row],[Date]],"mmm")</f>
        <v>Jun</v>
      </c>
    </row>
    <row r="836" spans="1:9" x14ac:dyDescent="0.3">
      <c r="A836" s="3" t="s">
        <v>870</v>
      </c>
      <c r="B836" s="3" t="s">
        <v>38</v>
      </c>
      <c r="C836" s="3" t="s">
        <v>39</v>
      </c>
      <c r="D836" s="3">
        <v>3</v>
      </c>
      <c r="E836" s="4">
        <v>6579.89</v>
      </c>
      <c r="F836" s="4">
        <f t="shared" si="13"/>
        <v>19739.670000000002</v>
      </c>
      <c r="G836" s="3" t="s">
        <v>50</v>
      </c>
      <c r="H836" s="5">
        <v>46178</v>
      </c>
      <c r="I836" s="3" t="str">
        <f>TEXT(Table1[[#This Row],[Date]],"mmm")</f>
        <v>Jun</v>
      </c>
    </row>
    <row r="837" spans="1:9" x14ac:dyDescent="0.3">
      <c r="A837" s="3" t="s">
        <v>871</v>
      </c>
      <c r="B837" s="3" t="s">
        <v>24</v>
      </c>
      <c r="C837" s="3" t="s">
        <v>25</v>
      </c>
      <c r="D837" s="3">
        <v>3</v>
      </c>
      <c r="E837" s="4">
        <v>828.47</v>
      </c>
      <c r="F837" s="4">
        <f t="shared" si="13"/>
        <v>2485.41</v>
      </c>
      <c r="G837" s="3" t="s">
        <v>22</v>
      </c>
      <c r="H837" s="5">
        <v>46039</v>
      </c>
      <c r="I837" s="3" t="str">
        <f>TEXT(Table1[[#This Row],[Date]],"mmm")</f>
        <v>Jan</v>
      </c>
    </row>
    <row r="838" spans="1:9" x14ac:dyDescent="0.3">
      <c r="A838" s="3" t="s">
        <v>872</v>
      </c>
      <c r="B838" s="3" t="s">
        <v>55</v>
      </c>
      <c r="C838" s="3" t="s">
        <v>25</v>
      </c>
      <c r="D838" s="3">
        <v>3</v>
      </c>
      <c r="E838" s="4">
        <v>2569.27</v>
      </c>
      <c r="F838" s="4">
        <f t="shared" si="13"/>
        <v>7707.8099999999995</v>
      </c>
      <c r="G838" s="3" t="s">
        <v>10</v>
      </c>
      <c r="H838" s="5">
        <v>46089</v>
      </c>
      <c r="I838" s="3" t="str">
        <f>TEXT(Table1[[#This Row],[Date]],"mmm")</f>
        <v>Mar</v>
      </c>
    </row>
    <row r="839" spans="1:9" x14ac:dyDescent="0.3">
      <c r="A839" s="3" t="s">
        <v>873</v>
      </c>
      <c r="B839" s="3" t="s">
        <v>8</v>
      </c>
      <c r="C839" s="3" t="s">
        <v>9</v>
      </c>
      <c r="D839" s="3">
        <v>3</v>
      </c>
      <c r="E839" s="4">
        <v>1687.81</v>
      </c>
      <c r="F839" s="4">
        <f t="shared" si="13"/>
        <v>5063.43</v>
      </c>
      <c r="G839" s="3" t="s">
        <v>14</v>
      </c>
      <c r="H839" s="5">
        <v>46084</v>
      </c>
      <c r="I839" s="3" t="str">
        <f>TEXT(Table1[[#This Row],[Date]],"mmm")</f>
        <v>Mar</v>
      </c>
    </row>
    <row r="840" spans="1:9" x14ac:dyDescent="0.3">
      <c r="A840" s="3" t="s">
        <v>874</v>
      </c>
      <c r="B840" s="3" t="s">
        <v>91</v>
      </c>
      <c r="C840" s="3" t="s">
        <v>13</v>
      </c>
      <c r="D840" s="3">
        <v>5</v>
      </c>
      <c r="E840" s="4">
        <v>53945.08</v>
      </c>
      <c r="F840" s="4">
        <f t="shared" si="13"/>
        <v>269725.40000000002</v>
      </c>
      <c r="G840" s="3" t="s">
        <v>32</v>
      </c>
      <c r="H840" s="5">
        <v>46197</v>
      </c>
      <c r="I840" s="3" t="str">
        <f>TEXT(Table1[[#This Row],[Date]],"mmm")</f>
        <v>Jun</v>
      </c>
    </row>
    <row r="841" spans="1:9" x14ac:dyDescent="0.3">
      <c r="A841" s="3" t="s">
        <v>875</v>
      </c>
      <c r="B841" s="3" t="s">
        <v>72</v>
      </c>
      <c r="C841" s="3" t="s">
        <v>13</v>
      </c>
      <c r="D841" s="3">
        <v>1</v>
      </c>
      <c r="E841" s="4">
        <v>2268.38</v>
      </c>
      <c r="F841" s="4">
        <f t="shared" si="13"/>
        <v>2268.38</v>
      </c>
      <c r="G841" s="3" t="s">
        <v>10</v>
      </c>
      <c r="H841" s="5">
        <v>46089</v>
      </c>
      <c r="I841" s="3" t="str">
        <f>TEXT(Table1[[#This Row],[Date]],"mmm")</f>
        <v>Mar</v>
      </c>
    </row>
    <row r="842" spans="1:9" x14ac:dyDescent="0.3">
      <c r="A842" s="3" t="s">
        <v>876</v>
      </c>
      <c r="B842" s="3" t="s">
        <v>28</v>
      </c>
      <c r="C842" s="3" t="s">
        <v>9</v>
      </c>
      <c r="D842" s="3">
        <v>4</v>
      </c>
      <c r="E842" s="4">
        <v>4887.3</v>
      </c>
      <c r="F842" s="4">
        <f t="shared" si="13"/>
        <v>19549.2</v>
      </c>
      <c r="G842" s="3" t="s">
        <v>46</v>
      </c>
      <c r="H842" s="5">
        <v>46172</v>
      </c>
      <c r="I842" s="3" t="str">
        <f>TEXT(Table1[[#This Row],[Date]],"mmm")</f>
        <v>May</v>
      </c>
    </row>
    <row r="843" spans="1:9" x14ac:dyDescent="0.3">
      <c r="A843" s="3" t="s">
        <v>877</v>
      </c>
      <c r="B843" s="3" t="s">
        <v>21</v>
      </c>
      <c r="C843" s="3" t="s">
        <v>13</v>
      </c>
      <c r="D843" s="3">
        <v>5</v>
      </c>
      <c r="E843" s="4">
        <v>29769.68</v>
      </c>
      <c r="F843" s="4">
        <f t="shared" si="13"/>
        <v>148848.4</v>
      </c>
      <c r="G843" s="3" t="s">
        <v>32</v>
      </c>
      <c r="H843" s="5">
        <v>46079</v>
      </c>
      <c r="I843" s="3" t="str">
        <f>TEXT(Table1[[#This Row],[Date]],"mmm")</f>
        <v>Feb</v>
      </c>
    </row>
    <row r="844" spans="1:9" x14ac:dyDescent="0.3">
      <c r="A844" s="3" t="s">
        <v>878</v>
      </c>
      <c r="B844" s="3" t="s">
        <v>8</v>
      </c>
      <c r="C844" s="3" t="s">
        <v>9</v>
      </c>
      <c r="D844" s="3">
        <v>5</v>
      </c>
      <c r="E844" s="4">
        <v>1849.79</v>
      </c>
      <c r="F844" s="4">
        <f t="shared" si="13"/>
        <v>9248.9500000000007</v>
      </c>
      <c r="G844" s="3" t="s">
        <v>22</v>
      </c>
      <c r="H844" s="5">
        <v>46194</v>
      </c>
      <c r="I844" s="3" t="str">
        <f>TEXT(Table1[[#This Row],[Date]],"mmm")</f>
        <v>Jun</v>
      </c>
    </row>
    <row r="845" spans="1:9" x14ac:dyDescent="0.3">
      <c r="A845" s="3" t="s">
        <v>879</v>
      </c>
      <c r="B845" s="3" t="s">
        <v>55</v>
      </c>
      <c r="C845" s="3" t="s">
        <v>25</v>
      </c>
      <c r="D845" s="3">
        <v>5</v>
      </c>
      <c r="E845" s="4">
        <v>2399.14</v>
      </c>
      <c r="F845" s="4">
        <f t="shared" si="13"/>
        <v>11995.699999999999</v>
      </c>
      <c r="G845" s="3" t="s">
        <v>26</v>
      </c>
      <c r="H845" s="5">
        <v>46191</v>
      </c>
      <c r="I845" s="3" t="str">
        <f>TEXT(Table1[[#This Row],[Date]],"mmm")</f>
        <v>Jun</v>
      </c>
    </row>
    <row r="846" spans="1:9" x14ac:dyDescent="0.3">
      <c r="A846" s="3" t="s">
        <v>880</v>
      </c>
      <c r="B846" s="3" t="s">
        <v>80</v>
      </c>
      <c r="C846" s="3" t="s">
        <v>39</v>
      </c>
      <c r="D846" s="3">
        <v>2</v>
      </c>
      <c r="E846" s="4">
        <v>4026.78</v>
      </c>
      <c r="F846" s="4">
        <f t="shared" si="13"/>
        <v>8053.56</v>
      </c>
      <c r="G846" s="3" t="s">
        <v>22</v>
      </c>
      <c r="H846" s="5">
        <v>46055</v>
      </c>
      <c r="I846" s="3" t="str">
        <f>TEXT(Table1[[#This Row],[Date]],"mmm")</f>
        <v>Feb</v>
      </c>
    </row>
    <row r="847" spans="1:9" x14ac:dyDescent="0.3">
      <c r="A847" s="3" t="s">
        <v>881</v>
      </c>
      <c r="B847" s="3" t="s">
        <v>21</v>
      </c>
      <c r="C847" s="3" t="s">
        <v>13</v>
      </c>
      <c r="D847" s="3">
        <v>3</v>
      </c>
      <c r="E847" s="4">
        <v>29261.05</v>
      </c>
      <c r="F847" s="4">
        <f t="shared" si="13"/>
        <v>87783.15</v>
      </c>
      <c r="G847" s="3" t="s">
        <v>14</v>
      </c>
      <c r="H847" s="5">
        <v>46069</v>
      </c>
      <c r="I847" s="3" t="str">
        <f>TEXT(Table1[[#This Row],[Date]],"mmm")</f>
        <v>Feb</v>
      </c>
    </row>
    <row r="848" spans="1:9" x14ac:dyDescent="0.3">
      <c r="A848" s="3" t="s">
        <v>882</v>
      </c>
      <c r="B848" s="3" t="s">
        <v>8</v>
      </c>
      <c r="C848" s="3" t="s">
        <v>9</v>
      </c>
      <c r="D848" s="3">
        <v>3</v>
      </c>
      <c r="E848" s="4">
        <v>1855.6</v>
      </c>
      <c r="F848" s="4">
        <f t="shared" si="13"/>
        <v>5566.7999999999993</v>
      </c>
      <c r="G848" s="3" t="s">
        <v>29</v>
      </c>
      <c r="H848" s="5">
        <v>46113</v>
      </c>
      <c r="I848" s="3" t="str">
        <f>TEXT(Table1[[#This Row],[Date]],"mmm")</f>
        <v>Apr</v>
      </c>
    </row>
    <row r="849" spans="1:9" x14ac:dyDescent="0.3">
      <c r="A849" s="3" t="s">
        <v>883</v>
      </c>
      <c r="B849" s="3" t="s">
        <v>12</v>
      </c>
      <c r="C849" s="3" t="s">
        <v>13</v>
      </c>
      <c r="D849" s="3">
        <v>3</v>
      </c>
      <c r="E849" s="4">
        <v>1476.14</v>
      </c>
      <c r="F849" s="4">
        <f t="shared" si="13"/>
        <v>4428.42</v>
      </c>
      <c r="G849" s="3" t="s">
        <v>32</v>
      </c>
      <c r="H849" s="5">
        <v>46118</v>
      </c>
      <c r="I849" s="3" t="str">
        <f>TEXT(Table1[[#This Row],[Date]],"mmm")</f>
        <v>Apr</v>
      </c>
    </row>
    <row r="850" spans="1:9" x14ac:dyDescent="0.3">
      <c r="A850" s="3" t="s">
        <v>884</v>
      </c>
      <c r="B850" s="3" t="s">
        <v>24</v>
      </c>
      <c r="C850" s="3" t="s">
        <v>25</v>
      </c>
      <c r="D850" s="3">
        <v>5</v>
      </c>
      <c r="E850" s="4">
        <v>766.09</v>
      </c>
      <c r="F850" s="4">
        <f t="shared" si="13"/>
        <v>3830.4500000000003</v>
      </c>
      <c r="G850" s="3" t="s">
        <v>18</v>
      </c>
      <c r="H850" s="5">
        <v>46143</v>
      </c>
      <c r="I850" s="3" t="str">
        <f>TEXT(Table1[[#This Row],[Date]],"mmm")</f>
        <v>May</v>
      </c>
    </row>
    <row r="851" spans="1:9" x14ac:dyDescent="0.3">
      <c r="A851" s="3" t="s">
        <v>885</v>
      </c>
      <c r="B851" s="3" t="s">
        <v>91</v>
      </c>
      <c r="C851" s="3" t="s">
        <v>13</v>
      </c>
      <c r="D851" s="3">
        <v>5</v>
      </c>
      <c r="E851" s="4">
        <v>55883.44</v>
      </c>
      <c r="F851" s="4">
        <f t="shared" si="13"/>
        <v>279417.2</v>
      </c>
      <c r="G851" s="3" t="s">
        <v>50</v>
      </c>
      <c r="H851" s="5">
        <v>46041</v>
      </c>
      <c r="I851" s="3" t="str">
        <f>TEXT(Table1[[#This Row],[Date]],"mmm")</f>
        <v>Jan</v>
      </c>
    </row>
    <row r="852" spans="1:9" x14ac:dyDescent="0.3">
      <c r="A852" s="3" t="s">
        <v>886</v>
      </c>
      <c r="B852" s="3" t="s">
        <v>44</v>
      </c>
      <c r="C852" s="3" t="s">
        <v>39</v>
      </c>
      <c r="D852" s="3">
        <v>2</v>
      </c>
      <c r="E852" s="4">
        <v>3500.33</v>
      </c>
      <c r="F852" s="4">
        <f t="shared" si="13"/>
        <v>7000.66</v>
      </c>
      <c r="G852" s="3" t="s">
        <v>48</v>
      </c>
      <c r="H852" s="5">
        <v>46158</v>
      </c>
      <c r="I852" s="3" t="str">
        <f>TEXT(Table1[[#This Row],[Date]],"mmm")</f>
        <v>May</v>
      </c>
    </row>
    <row r="853" spans="1:9" x14ac:dyDescent="0.3">
      <c r="A853" s="3" t="s">
        <v>887</v>
      </c>
      <c r="B853" s="3" t="s">
        <v>24</v>
      </c>
      <c r="C853" s="3" t="s">
        <v>25</v>
      </c>
      <c r="D853" s="3">
        <v>4</v>
      </c>
      <c r="E853" s="4">
        <v>727.74</v>
      </c>
      <c r="F853" s="4">
        <f t="shared" si="13"/>
        <v>2910.96</v>
      </c>
      <c r="G853" s="3" t="s">
        <v>26</v>
      </c>
      <c r="H853" s="5">
        <v>46058</v>
      </c>
      <c r="I853" s="3" t="str">
        <f>TEXT(Table1[[#This Row],[Date]],"mmm")</f>
        <v>Feb</v>
      </c>
    </row>
    <row r="854" spans="1:9" x14ac:dyDescent="0.3">
      <c r="A854" s="3" t="s">
        <v>888</v>
      </c>
      <c r="B854" s="3" t="s">
        <v>12</v>
      </c>
      <c r="C854" s="3" t="s">
        <v>13</v>
      </c>
      <c r="D854" s="3">
        <v>3</v>
      </c>
      <c r="E854" s="4">
        <v>1472.76</v>
      </c>
      <c r="F854" s="4">
        <f t="shared" si="13"/>
        <v>4418.28</v>
      </c>
      <c r="G854" s="3" t="s">
        <v>50</v>
      </c>
      <c r="H854" s="5">
        <v>46140</v>
      </c>
      <c r="I854" s="3" t="str">
        <f>TEXT(Table1[[#This Row],[Date]],"mmm")</f>
        <v>Apr</v>
      </c>
    </row>
    <row r="855" spans="1:9" x14ac:dyDescent="0.3">
      <c r="A855" s="3" t="s">
        <v>889</v>
      </c>
      <c r="B855" s="3" t="s">
        <v>72</v>
      </c>
      <c r="C855" s="3" t="s">
        <v>13</v>
      </c>
      <c r="D855" s="3">
        <v>3</v>
      </c>
      <c r="E855" s="4">
        <v>2359.4499999999998</v>
      </c>
      <c r="F855" s="4">
        <f t="shared" si="13"/>
        <v>7078.3499999999995</v>
      </c>
      <c r="G855" s="3" t="s">
        <v>26</v>
      </c>
      <c r="H855" s="5">
        <v>46043</v>
      </c>
      <c r="I855" s="3" t="str">
        <f>TEXT(Table1[[#This Row],[Date]],"mmm")</f>
        <v>Jan</v>
      </c>
    </row>
    <row r="856" spans="1:9" x14ac:dyDescent="0.3">
      <c r="A856" s="3" t="s">
        <v>890</v>
      </c>
      <c r="B856" s="3" t="s">
        <v>44</v>
      </c>
      <c r="C856" s="3" t="s">
        <v>39</v>
      </c>
      <c r="D856" s="3">
        <v>3</v>
      </c>
      <c r="E856" s="4">
        <v>3591.72</v>
      </c>
      <c r="F856" s="4">
        <f t="shared" si="13"/>
        <v>10775.16</v>
      </c>
      <c r="G856" s="3" t="s">
        <v>26</v>
      </c>
      <c r="H856" s="5">
        <v>46103</v>
      </c>
      <c r="I856" s="3" t="str">
        <f>TEXT(Table1[[#This Row],[Date]],"mmm")</f>
        <v>Mar</v>
      </c>
    </row>
    <row r="857" spans="1:9" x14ac:dyDescent="0.3">
      <c r="A857" s="3" t="s">
        <v>891</v>
      </c>
      <c r="B857" s="3" t="s">
        <v>8</v>
      </c>
      <c r="C857" s="3" t="s">
        <v>9</v>
      </c>
      <c r="D857" s="3">
        <v>1</v>
      </c>
      <c r="E857" s="4">
        <v>1621.7</v>
      </c>
      <c r="F857" s="4">
        <f t="shared" si="13"/>
        <v>1621.7</v>
      </c>
      <c r="G857" s="3" t="s">
        <v>10</v>
      </c>
      <c r="H857" s="5">
        <v>46076</v>
      </c>
      <c r="I857" s="3" t="str">
        <f>TEXT(Table1[[#This Row],[Date]],"mmm")</f>
        <v>Feb</v>
      </c>
    </row>
    <row r="858" spans="1:9" x14ac:dyDescent="0.3">
      <c r="A858" s="3" t="s">
        <v>892</v>
      </c>
      <c r="B858" s="3" t="s">
        <v>62</v>
      </c>
      <c r="C858" s="3" t="s">
        <v>25</v>
      </c>
      <c r="D858" s="3">
        <v>2</v>
      </c>
      <c r="E858" s="4">
        <v>2029.5</v>
      </c>
      <c r="F858" s="4">
        <f t="shared" si="13"/>
        <v>4059</v>
      </c>
      <c r="G858" s="3" t="s">
        <v>26</v>
      </c>
      <c r="H858" s="5">
        <v>46148</v>
      </c>
      <c r="I858" s="3" t="str">
        <f>TEXT(Table1[[#This Row],[Date]],"mmm")</f>
        <v>May</v>
      </c>
    </row>
    <row r="859" spans="1:9" x14ac:dyDescent="0.3">
      <c r="A859" s="3" t="s">
        <v>893</v>
      </c>
      <c r="B859" s="3" t="s">
        <v>62</v>
      </c>
      <c r="C859" s="3" t="s">
        <v>25</v>
      </c>
      <c r="D859" s="3">
        <v>1</v>
      </c>
      <c r="E859" s="4">
        <v>1850.84</v>
      </c>
      <c r="F859" s="4">
        <f t="shared" si="13"/>
        <v>1850.84</v>
      </c>
      <c r="G859" s="3" t="s">
        <v>48</v>
      </c>
      <c r="H859" s="5">
        <v>46185</v>
      </c>
      <c r="I859" s="3" t="str">
        <f>TEXT(Table1[[#This Row],[Date]],"mmm")</f>
        <v>Jun</v>
      </c>
    </row>
    <row r="860" spans="1:9" x14ac:dyDescent="0.3">
      <c r="A860" s="3" t="s">
        <v>894</v>
      </c>
      <c r="B860" s="3" t="s">
        <v>28</v>
      </c>
      <c r="C860" s="3" t="s">
        <v>9</v>
      </c>
      <c r="D860" s="3">
        <v>4</v>
      </c>
      <c r="E860" s="4">
        <v>4928.04</v>
      </c>
      <c r="F860" s="4">
        <f t="shared" si="13"/>
        <v>19712.16</v>
      </c>
      <c r="G860" s="3" t="s">
        <v>22</v>
      </c>
      <c r="H860" s="5">
        <v>46121</v>
      </c>
      <c r="I860" s="3" t="str">
        <f>TEXT(Table1[[#This Row],[Date]],"mmm")</f>
        <v>Apr</v>
      </c>
    </row>
    <row r="861" spans="1:9" x14ac:dyDescent="0.3">
      <c r="A861" s="3" t="s">
        <v>895</v>
      </c>
      <c r="B861" s="3" t="s">
        <v>91</v>
      </c>
      <c r="C861" s="3" t="s">
        <v>13</v>
      </c>
      <c r="D861" s="3">
        <v>1</v>
      </c>
      <c r="E861" s="4">
        <v>55371.61</v>
      </c>
      <c r="F861" s="4">
        <f t="shared" si="13"/>
        <v>55371.61</v>
      </c>
      <c r="G861" s="3" t="s">
        <v>32</v>
      </c>
      <c r="H861" s="5">
        <v>46026</v>
      </c>
      <c r="I861" s="3" t="str">
        <f>TEXT(Table1[[#This Row],[Date]],"mmm")</f>
        <v>Jan</v>
      </c>
    </row>
    <row r="862" spans="1:9" x14ac:dyDescent="0.3">
      <c r="A862" s="3" t="s">
        <v>896</v>
      </c>
      <c r="B862" s="3" t="s">
        <v>55</v>
      </c>
      <c r="C862" s="3" t="s">
        <v>25</v>
      </c>
      <c r="D862" s="3">
        <v>5</v>
      </c>
      <c r="E862" s="4">
        <v>2344.35</v>
      </c>
      <c r="F862" s="4">
        <f t="shared" si="13"/>
        <v>11721.75</v>
      </c>
      <c r="G862" s="3" t="s">
        <v>46</v>
      </c>
      <c r="H862" s="5">
        <v>46183</v>
      </c>
      <c r="I862" s="3" t="str">
        <f>TEXT(Table1[[#This Row],[Date]],"mmm")</f>
        <v>Jun</v>
      </c>
    </row>
    <row r="863" spans="1:9" x14ac:dyDescent="0.3">
      <c r="A863" s="3" t="s">
        <v>897</v>
      </c>
      <c r="B863" s="3" t="s">
        <v>21</v>
      </c>
      <c r="C863" s="3" t="s">
        <v>13</v>
      </c>
      <c r="D863" s="3">
        <v>2</v>
      </c>
      <c r="E863" s="4">
        <v>26467.09</v>
      </c>
      <c r="F863" s="4">
        <f t="shared" si="13"/>
        <v>52934.18</v>
      </c>
      <c r="G863" s="3" t="s">
        <v>32</v>
      </c>
      <c r="H863" s="5">
        <v>46102</v>
      </c>
      <c r="I863" s="3" t="str">
        <f>TEXT(Table1[[#This Row],[Date]],"mmm")</f>
        <v>Mar</v>
      </c>
    </row>
    <row r="864" spans="1:9" x14ac:dyDescent="0.3">
      <c r="A864" s="3" t="s">
        <v>898</v>
      </c>
      <c r="B864" s="3" t="s">
        <v>72</v>
      </c>
      <c r="C864" s="3" t="s">
        <v>13</v>
      </c>
      <c r="D864" s="3">
        <v>1</v>
      </c>
      <c r="E864" s="4">
        <v>2148.7600000000002</v>
      </c>
      <c r="F864" s="4">
        <f t="shared" si="13"/>
        <v>2148.7600000000002</v>
      </c>
      <c r="G864" s="3" t="s">
        <v>50</v>
      </c>
      <c r="H864" s="5">
        <v>46101</v>
      </c>
      <c r="I864" s="3" t="str">
        <f>TEXT(Table1[[#This Row],[Date]],"mmm")</f>
        <v>Mar</v>
      </c>
    </row>
    <row r="865" spans="1:9" x14ac:dyDescent="0.3">
      <c r="A865" s="3" t="s">
        <v>899</v>
      </c>
      <c r="B865" s="3" t="s">
        <v>72</v>
      </c>
      <c r="C865" s="3" t="s">
        <v>13</v>
      </c>
      <c r="D865" s="3">
        <v>1</v>
      </c>
      <c r="E865" s="4">
        <v>2342.4899999999998</v>
      </c>
      <c r="F865" s="4">
        <f t="shared" si="13"/>
        <v>2342.4899999999998</v>
      </c>
      <c r="G865" s="3" t="s">
        <v>10</v>
      </c>
      <c r="H865" s="5">
        <v>46097</v>
      </c>
      <c r="I865" s="3" t="str">
        <f>TEXT(Table1[[#This Row],[Date]],"mmm")</f>
        <v>Mar</v>
      </c>
    </row>
    <row r="866" spans="1:9" x14ac:dyDescent="0.3">
      <c r="A866" s="3" t="s">
        <v>900</v>
      </c>
      <c r="B866" s="3" t="s">
        <v>44</v>
      </c>
      <c r="C866" s="3" t="s">
        <v>39</v>
      </c>
      <c r="D866" s="3">
        <v>5</v>
      </c>
      <c r="E866" s="4">
        <v>3567.46</v>
      </c>
      <c r="F866" s="4">
        <f t="shared" si="13"/>
        <v>17837.3</v>
      </c>
      <c r="G866" s="3" t="s">
        <v>32</v>
      </c>
      <c r="H866" s="5">
        <v>46134</v>
      </c>
      <c r="I866" s="3" t="str">
        <f>TEXT(Table1[[#This Row],[Date]],"mmm")</f>
        <v>Apr</v>
      </c>
    </row>
    <row r="867" spans="1:9" x14ac:dyDescent="0.3">
      <c r="A867" s="3" t="s">
        <v>901</v>
      </c>
      <c r="B867" s="3" t="s">
        <v>8</v>
      </c>
      <c r="C867" s="3" t="s">
        <v>9</v>
      </c>
      <c r="D867" s="3">
        <v>2</v>
      </c>
      <c r="E867" s="4">
        <v>1743.38</v>
      </c>
      <c r="F867" s="4">
        <f t="shared" si="13"/>
        <v>3486.76</v>
      </c>
      <c r="G867" s="3" t="s">
        <v>22</v>
      </c>
      <c r="H867" s="5">
        <v>46114</v>
      </c>
      <c r="I867" s="3" t="str">
        <f>TEXT(Table1[[#This Row],[Date]],"mmm")</f>
        <v>Apr</v>
      </c>
    </row>
    <row r="868" spans="1:9" x14ac:dyDescent="0.3">
      <c r="A868" s="3" t="s">
        <v>902</v>
      </c>
      <c r="B868" s="3" t="s">
        <v>62</v>
      </c>
      <c r="C868" s="3" t="s">
        <v>25</v>
      </c>
      <c r="D868" s="3">
        <v>2</v>
      </c>
      <c r="E868" s="4">
        <v>1865.02</v>
      </c>
      <c r="F868" s="4">
        <f t="shared" si="13"/>
        <v>3730.04</v>
      </c>
      <c r="G868" s="3" t="s">
        <v>48</v>
      </c>
      <c r="H868" s="5">
        <v>46027</v>
      </c>
      <c r="I868" s="3" t="str">
        <f>TEXT(Table1[[#This Row],[Date]],"mmm")</f>
        <v>Jan</v>
      </c>
    </row>
    <row r="869" spans="1:9" x14ac:dyDescent="0.3">
      <c r="A869" s="3" t="s">
        <v>903</v>
      </c>
      <c r="B869" s="3" t="s">
        <v>12</v>
      </c>
      <c r="C869" s="3" t="s">
        <v>13</v>
      </c>
      <c r="D869" s="3">
        <v>2</v>
      </c>
      <c r="E869" s="4">
        <v>1568.15</v>
      </c>
      <c r="F869" s="4">
        <f t="shared" si="13"/>
        <v>3136.3</v>
      </c>
      <c r="G869" s="3" t="s">
        <v>26</v>
      </c>
      <c r="H869" s="5">
        <v>46077</v>
      </c>
      <c r="I869" s="3" t="str">
        <f>TEXT(Table1[[#This Row],[Date]],"mmm")</f>
        <v>Feb</v>
      </c>
    </row>
    <row r="870" spans="1:9" x14ac:dyDescent="0.3">
      <c r="A870" s="3" t="s">
        <v>904</v>
      </c>
      <c r="B870" s="3" t="s">
        <v>21</v>
      </c>
      <c r="C870" s="3" t="s">
        <v>13</v>
      </c>
      <c r="D870" s="3">
        <v>1</v>
      </c>
      <c r="E870" s="4">
        <v>28502.28</v>
      </c>
      <c r="F870" s="4">
        <f t="shared" si="13"/>
        <v>28502.28</v>
      </c>
      <c r="G870" s="3" t="s">
        <v>26</v>
      </c>
      <c r="H870" s="5">
        <v>46054</v>
      </c>
      <c r="I870" s="3" t="str">
        <f>TEXT(Table1[[#This Row],[Date]],"mmm")</f>
        <v>Feb</v>
      </c>
    </row>
    <row r="871" spans="1:9" x14ac:dyDescent="0.3">
      <c r="A871" s="3" t="s">
        <v>905</v>
      </c>
      <c r="B871" s="3" t="s">
        <v>55</v>
      </c>
      <c r="C871" s="3" t="s">
        <v>25</v>
      </c>
      <c r="D871" s="3">
        <v>1</v>
      </c>
      <c r="E871" s="4">
        <v>2436.62</v>
      </c>
      <c r="F871" s="4">
        <f t="shared" si="13"/>
        <v>2436.62</v>
      </c>
      <c r="G871" s="3" t="s">
        <v>10</v>
      </c>
      <c r="H871" s="5">
        <v>46159</v>
      </c>
      <c r="I871" s="3" t="str">
        <f>TEXT(Table1[[#This Row],[Date]],"mmm")</f>
        <v>May</v>
      </c>
    </row>
    <row r="872" spans="1:9" x14ac:dyDescent="0.3">
      <c r="A872" s="3" t="s">
        <v>906</v>
      </c>
      <c r="B872" s="3" t="s">
        <v>16</v>
      </c>
      <c r="C872" s="3" t="s">
        <v>17</v>
      </c>
      <c r="D872" s="3">
        <v>1</v>
      </c>
      <c r="E872" s="4">
        <v>458.45</v>
      </c>
      <c r="F872" s="4">
        <f t="shared" si="13"/>
        <v>458.45</v>
      </c>
      <c r="G872" s="3" t="s">
        <v>46</v>
      </c>
      <c r="H872" s="5">
        <v>46192</v>
      </c>
      <c r="I872" s="3" t="str">
        <f>TEXT(Table1[[#This Row],[Date]],"mmm")</f>
        <v>Jun</v>
      </c>
    </row>
    <row r="873" spans="1:9" x14ac:dyDescent="0.3">
      <c r="A873" s="3" t="s">
        <v>907</v>
      </c>
      <c r="B873" s="3" t="s">
        <v>31</v>
      </c>
      <c r="C873" s="3" t="s">
        <v>13</v>
      </c>
      <c r="D873" s="3">
        <v>1</v>
      </c>
      <c r="E873" s="4">
        <v>16373.65</v>
      </c>
      <c r="F873" s="4">
        <f t="shared" si="13"/>
        <v>16373.65</v>
      </c>
      <c r="G873" s="3" t="s">
        <v>18</v>
      </c>
      <c r="H873" s="5">
        <v>46129</v>
      </c>
      <c r="I873" s="3" t="str">
        <f>TEXT(Table1[[#This Row],[Date]],"mmm")</f>
        <v>Apr</v>
      </c>
    </row>
    <row r="874" spans="1:9" x14ac:dyDescent="0.3">
      <c r="A874" s="3" t="s">
        <v>908</v>
      </c>
      <c r="B874" s="3" t="s">
        <v>44</v>
      </c>
      <c r="C874" s="3" t="s">
        <v>39</v>
      </c>
      <c r="D874" s="3">
        <v>4</v>
      </c>
      <c r="E874" s="4">
        <v>3236.52</v>
      </c>
      <c r="F874" s="4">
        <f t="shared" si="13"/>
        <v>12946.08</v>
      </c>
      <c r="G874" s="3" t="s">
        <v>10</v>
      </c>
      <c r="H874" s="5">
        <v>46144</v>
      </c>
      <c r="I874" s="3" t="str">
        <f>TEXT(Table1[[#This Row],[Date]],"mmm")</f>
        <v>May</v>
      </c>
    </row>
    <row r="875" spans="1:9" x14ac:dyDescent="0.3">
      <c r="A875" s="3" t="s">
        <v>909</v>
      </c>
      <c r="B875" s="3" t="s">
        <v>21</v>
      </c>
      <c r="C875" s="3" t="s">
        <v>13</v>
      </c>
      <c r="D875" s="3">
        <v>2</v>
      </c>
      <c r="E875" s="4">
        <v>26350.77</v>
      </c>
      <c r="F875" s="4">
        <f t="shared" si="13"/>
        <v>52701.54</v>
      </c>
      <c r="G875" s="3" t="s">
        <v>46</v>
      </c>
      <c r="H875" s="5">
        <v>46100</v>
      </c>
      <c r="I875" s="3" t="str">
        <f>TEXT(Table1[[#This Row],[Date]],"mmm")</f>
        <v>Mar</v>
      </c>
    </row>
    <row r="876" spans="1:9" x14ac:dyDescent="0.3">
      <c r="A876" s="3" t="s">
        <v>910</v>
      </c>
      <c r="B876" s="3" t="s">
        <v>28</v>
      </c>
      <c r="C876" s="3" t="s">
        <v>9</v>
      </c>
      <c r="D876" s="3">
        <v>1</v>
      </c>
      <c r="E876" s="4">
        <v>5161.45</v>
      </c>
      <c r="F876" s="4">
        <f t="shared" si="13"/>
        <v>5161.45</v>
      </c>
      <c r="G876" s="3" t="s">
        <v>10</v>
      </c>
      <c r="H876" s="5">
        <v>46182</v>
      </c>
      <c r="I876" s="3" t="str">
        <f>TEXT(Table1[[#This Row],[Date]],"mmm")</f>
        <v>Jun</v>
      </c>
    </row>
    <row r="877" spans="1:9" x14ac:dyDescent="0.3">
      <c r="A877" s="3" t="s">
        <v>911</v>
      </c>
      <c r="B877" s="3" t="s">
        <v>16</v>
      </c>
      <c r="C877" s="3" t="s">
        <v>17</v>
      </c>
      <c r="D877" s="3">
        <v>2</v>
      </c>
      <c r="E877" s="4">
        <v>442.69</v>
      </c>
      <c r="F877" s="4">
        <f t="shared" si="13"/>
        <v>885.38</v>
      </c>
      <c r="G877" s="3" t="s">
        <v>18</v>
      </c>
      <c r="H877" s="5">
        <v>46153</v>
      </c>
      <c r="I877" s="3" t="str">
        <f>TEXT(Table1[[#This Row],[Date]],"mmm")</f>
        <v>May</v>
      </c>
    </row>
    <row r="878" spans="1:9" x14ac:dyDescent="0.3">
      <c r="A878" s="3" t="s">
        <v>912</v>
      </c>
      <c r="B878" s="3" t="s">
        <v>21</v>
      </c>
      <c r="C878" s="3" t="s">
        <v>13</v>
      </c>
      <c r="D878" s="3">
        <v>5</v>
      </c>
      <c r="E878" s="4">
        <v>25859.31</v>
      </c>
      <c r="F878" s="4">
        <f t="shared" si="13"/>
        <v>129296.55</v>
      </c>
      <c r="G878" s="3" t="s">
        <v>18</v>
      </c>
      <c r="H878" s="5">
        <v>46050</v>
      </c>
      <c r="I878" s="3" t="str">
        <f>TEXT(Table1[[#This Row],[Date]],"mmm")</f>
        <v>Jan</v>
      </c>
    </row>
    <row r="879" spans="1:9" x14ac:dyDescent="0.3">
      <c r="A879" s="3" t="s">
        <v>913</v>
      </c>
      <c r="B879" s="3" t="s">
        <v>44</v>
      </c>
      <c r="C879" s="3" t="s">
        <v>39</v>
      </c>
      <c r="D879" s="3">
        <v>2</v>
      </c>
      <c r="E879" s="4">
        <v>3576.3</v>
      </c>
      <c r="F879" s="4">
        <f t="shared" si="13"/>
        <v>7152.6</v>
      </c>
      <c r="G879" s="3" t="s">
        <v>10</v>
      </c>
      <c r="H879" s="5">
        <v>46156</v>
      </c>
      <c r="I879" s="3" t="str">
        <f>TEXT(Table1[[#This Row],[Date]],"mmm")</f>
        <v>May</v>
      </c>
    </row>
    <row r="880" spans="1:9" x14ac:dyDescent="0.3">
      <c r="A880" s="3" t="s">
        <v>914</v>
      </c>
      <c r="B880" s="3" t="s">
        <v>12</v>
      </c>
      <c r="C880" s="3" t="s">
        <v>13</v>
      </c>
      <c r="D880" s="3">
        <v>3</v>
      </c>
      <c r="E880" s="4">
        <v>1561.03</v>
      </c>
      <c r="F880" s="4">
        <f t="shared" si="13"/>
        <v>4683.09</v>
      </c>
      <c r="G880" s="3" t="s">
        <v>10</v>
      </c>
      <c r="H880" s="5">
        <v>46064</v>
      </c>
      <c r="I880" s="3" t="str">
        <f>TEXT(Table1[[#This Row],[Date]],"mmm")</f>
        <v>Feb</v>
      </c>
    </row>
    <row r="881" spans="1:9" x14ac:dyDescent="0.3">
      <c r="A881" s="3" t="s">
        <v>915</v>
      </c>
      <c r="B881" s="3" t="s">
        <v>91</v>
      </c>
      <c r="C881" s="3" t="s">
        <v>13</v>
      </c>
      <c r="D881" s="3">
        <v>5</v>
      </c>
      <c r="E881" s="4">
        <v>54959.9</v>
      </c>
      <c r="F881" s="4">
        <f t="shared" si="13"/>
        <v>274799.5</v>
      </c>
      <c r="G881" s="3" t="s">
        <v>29</v>
      </c>
      <c r="H881" s="5">
        <v>46199</v>
      </c>
      <c r="I881" s="3" t="str">
        <f>TEXT(Table1[[#This Row],[Date]],"mmm")</f>
        <v>Jun</v>
      </c>
    </row>
    <row r="882" spans="1:9" x14ac:dyDescent="0.3">
      <c r="A882" s="3" t="s">
        <v>916</v>
      </c>
      <c r="B882" s="3" t="s">
        <v>44</v>
      </c>
      <c r="C882" s="3" t="s">
        <v>39</v>
      </c>
      <c r="D882" s="3">
        <v>3</v>
      </c>
      <c r="E882" s="4">
        <v>3314.15</v>
      </c>
      <c r="F882" s="4">
        <f t="shared" si="13"/>
        <v>9942.4500000000007</v>
      </c>
      <c r="G882" s="3" t="s">
        <v>46</v>
      </c>
      <c r="H882" s="5">
        <v>46194</v>
      </c>
      <c r="I882" s="3" t="str">
        <f>TEXT(Table1[[#This Row],[Date]],"mmm")</f>
        <v>Jun</v>
      </c>
    </row>
    <row r="883" spans="1:9" x14ac:dyDescent="0.3">
      <c r="A883" s="3" t="s">
        <v>917</v>
      </c>
      <c r="B883" s="3" t="s">
        <v>31</v>
      </c>
      <c r="C883" s="3" t="s">
        <v>13</v>
      </c>
      <c r="D883" s="3">
        <v>1</v>
      </c>
      <c r="E883" s="4">
        <v>19206.84</v>
      </c>
      <c r="F883" s="4">
        <f t="shared" si="13"/>
        <v>19206.84</v>
      </c>
      <c r="G883" s="3" t="s">
        <v>22</v>
      </c>
      <c r="H883" s="5">
        <v>46061</v>
      </c>
      <c r="I883" s="3" t="str">
        <f>TEXT(Table1[[#This Row],[Date]],"mmm")</f>
        <v>Feb</v>
      </c>
    </row>
    <row r="884" spans="1:9" x14ac:dyDescent="0.3">
      <c r="A884" s="3" t="s">
        <v>918</v>
      </c>
      <c r="B884" s="3" t="s">
        <v>31</v>
      </c>
      <c r="C884" s="3" t="s">
        <v>13</v>
      </c>
      <c r="D884" s="3">
        <v>5</v>
      </c>
      <c r="E884" s="4">
        <v>16470.169999999998</v>
      </c>
      <c r="F884" s="4">
        <f t="shared" si="13"/>
        <v>82350.849999999991</v>
      </c>
      <c r="G884" s="3" t="s">
        <v>18</v>
      </c>
      <c r="H884" s="5">
        <v>46088</v>
      </c>
      <c r="I884" s="3" t="str">
        <f>TEXT(Table1[[#This Row],[Date]],"mmm")</f>
        <v>Mar</v>
      </c>
    </row>
    <row r="885" spans="1:9" x14ac:dyDescent="0.3">
      <c r="A885" s="3" t="s">
        <v>919</v>
      </c>
      <c r="B885" s="3" t="s">
        <v>8</v>
      </c>
      <c r="C885" s="3" t="s">
        <v>9</v>
      </c>
      <c r="D885" s="3">
        <v>2</v>
      </c>
      <c r="E885" s="4">
        <v>1784.43</v>
      </c>
      <c r="F885" s="4">
        <f t="shared" si="13"/>
        <v>3568.86</v>
      </c>
      <c r="G885" s="3" t="s">
        <v>10</v>
      </c>
      <c r="H885" s="5">
        <v>46090</v>
      </c>
      <c r="I885" s="3" t="str">
        <f>TEXT(Table1[[#This Row],[Date]],"mmm")</f>
        <v>Mar</v>
      </c>
    </row>
    <row r="886" spans="1:9" x14ac:dyDescent="0.3">
      <c r="A886" s="3" t="s">
        <v>920</v>
      </c>
      <c r="B886" s="3" t="s">
        <v>44</v>
      </c>
      <c r="C886" s="3" t="s">
        <v>39</v>
      </c>
      <c r="D886" s="3">
        <v>1</v>
      </c>
      <c r="E886" s="4">
        <v>3219.87</v>
      </c>
      <c r="F886" s="4">
        <f t="shared" si="13"/>
        <v>3219.87</v>
      </c>
      <c r="G886" s="3" t="s">
        <v>26</v>
      </c>
      <c r="H886" s="5">
        <v>46033</v>
      </c>
      <c r="I886" s="3" t="str">
        <f>TEXT(Table1[[#This Row],[Date]],"mmm")</f>
        <v>Jan</v>
      </c>
    </row>
    <row r="887" spans="1:9" x14ac:dyDescent="0.3">
      <c r="A887" s="3" t="s">
        <v>921</v>
      </c>
      <c r="B887" s="3" t="s">
        <v>38</v>
      </c>
      <c r="C887" s="3" t="s">
        <v>39</v>
      </c>
      <c r="D887" s="3">
        <v>3</v>
      </c>
      <c r="E887" s="4">
        <v>6318.28</v>
      </c>
      <c r="F887" s="4">
        <f t="shared" si="13"/>
        <v>18954.84</v>
      </c>
      <c r="G887" s="3" t="s">
        <v>32</v>
      </c>
      <c r="H887" s="5">
        <v>46132</v>
      </c>
      <c r="I887" s="3" t="str">
        <f>TEXT(Table1[[#This Row],[Date]],"mmm")</f>
        <v>Apr</v>
      </c>
    </row>
    <row r="888" spans="1:9" x14ac:dyDescent="0.3">
      <c r="A888" s="3" t="s">
        <v>922</v>
      </c>
      <c r="B888" s="3" t="s">
        <v>21</v>
      </c>
      <c r="C888" s="3" t="s">
        <v>13</v>
      </c>
      <c r="D888" s="3">
        <v>1</v>
      </c>
      <c r="E888" s="4">
        <v>25731.99</v>
      </c>
      <c r="F888" s="4">
        <f t="shared" si="13"/>
        <v>25731.99</v>
      </c>
      <c r="G888" s="3" t="s">
        <v>46</v>
      </c>
      <c r="H888" s="5">
        <v>46025</v>
      </c>
      <c r="I888" s="3" t="str">
        <f>TEXT(Table1[[#This Row],[Date]],"mmm")</f>
        <v>Jan</v>
      </c>
    </row>
    <row r="889" spans="1:9" x14ac:dyDescent="0.3">
      <c r="A889" s="3" t="s">
        <v>923</v>
      </c>
      <c r="B889" s="3" t="s">
        <v>38</v>
      </c>
      <c r="C889" s="3" t="s">
        <v>39</v>
      </c>
      <c r="D889" s="3">
        <v>2</v>
      </c>
      <c r="E889" s="4">
        <v>6712.36</v>
      </c>
      <c r="F889" s="4">
        <f t="shared" si="13"/>
        <v>13424.72</v>
      </c>
      <c r="G889" s="3" t="s">
        <v>26</v>
      </c>
      <c r="H889" s="5">
        <v>46107</v>
      </c>
      <c r="I889" s="3" t="str">
        <f>TEXT(Table1[[#This Row],[Date]],"mmm")</f>
        <v>Mar</v>
      </c>
    </row>
    <row r="890" spans="1:9" x14ac:dyDescent="0.3">
      <c r="A890" s="3" t="s">
        <v>924</v>
      </c>
      <c r="B890" s="3" t="s">
        <v>55</v>
      </c>
      <c r="C890" s="3" t="s">
        <v>25</v>
      </c>
      <c r="D890" s="3">
        <v>4</v>
      </c>
      <c r="E890" s="4">
        <v>2726.45</v>
      </c>
      <c r="F890" s="4">
        <f t="shared" si="13"/>
        <v>10905.8</v>
      </c>
      <c r="G890" s="3" t="s">
        <v>10</v>
      </c>
      <c r="H890" s="5">
        <v>46046</v>
      </c>
      <c r="I890" s="3" t="str">
        <f>TEXT(Table1[[#This Row],[Date]],"mmm")</f>
        <v>Jan</v>
      </c>
    </row>
    <row r="891" spans="1:9" x14ac:dyDescent="0.3">
      <c r="A891" s="3" t="s">
        <v>925</v>
      </c>
      <c r="B891" s="3" t="s">
        <v>55</v>
      </c>
      <c r="C891" s="3" t="s">
        <v>25</v>
      </c>
      <c r="D891" s="3">
        <v>3</v>
      </c>
      <c r="E891" s="4">
        <v>2340.5</v>
      </c>
      <c r="F891" s="4">
        <f t="shared" si="13"/>
        <v>7021.5</v>
      </c>
      <c r="G891" s="3" t="s">
        <v>48</v>
      </c>
      <c r="H891" s="5">
        <v>46125</v>
      </c>
      <c r="I891" s="3" t="str">
        <f>TEXT(Table1[[#This Row],[Date]],"mmm")</f>
        <v>Apr</v>
      </c>
    </row>
    <row r="892" spans="1:9" x14ac:dyDescent="0.3">
      <c r="A892" s="3" t="s">
        <v>926</v>
      </c>
      <c r="B892" s="3" t="s">
        <v>44</v>
      </c>
      <c r="C892" s="3" t="s">
        <v>39</v>
      </c>
      <c r="D892" s="3">
        <v>3</v>
      </c>
      <c r="E892" s="4">
        <v>3735</v>
      </c>
      <c r="F892" s="4">
        <f t="shared" si="13"/>
        <v>11205</v>
      </c>
      <c r="G892" s="3" t="s">
        <v>22</v>
      </c>
      <c r="H892" s="5">
        <v>46130</v>
      </c>
      <c r="I892" s="3" t="str">
        <f>TEXT(Table1[[#This Row],[Date]],"mmm")</f>
        <v>Apr</v>
      </c>
    </row>
    <row r="893" spans="1:9" x14ac:dyDescent="0.3">
      <c r="A893" s="3" t="s">
        <v>927</v>
      </c>
      <c r="B893" s="3" t="s">
        <v>8</v>
      </c>
      <c r="C893" s="3" t="s">
        <v>9</v>
      </c>
      <c r="D893" s="3">
        <v>2</v>
      </c>
      <c r="E893" s="4">
        <v>1660.7</v>
      </c>
      <c r="F893" s="4">
        <f t="shared" si="13"/>
        <v>3321.4</v>
      </c>
      <c r="G893" s="3" t="s">
        <v>46</v>
      </c>
      <c r="H893" s="5">
        <v>46063</v>
      </c>
      <c r="I893" s="3" t="str">
        <f>TEXT(Table1[[#This Row],[Date]],"mmm")</f>
        <v>Feb</v>
      </c>
    </row>
    <row r="894" spans="1:9" x14ac:dyDescent="0.3">
      <c r="A894" s="3" t="s">
        <v>928</v>
      </c>
      <c r="B894" s="3" t="s">
        <v>31</v>
      </c>
      <c r="C894" s="3" t="s">
        <v>13</v>
      </c>
      <c r="D894" s="3">
        <v>4</v>
      </c>
      <c r="E894" s="4">
        <v>19480.419999999998</v>
      </c>
      <c r="F894" s="4">
        <f t="shared" si="13"/>
        <v>77921.679999999993</v>
      </c>
      <c r="G894" s="3" t="s">
        <v>22</v>
      </c>
      <c r="H894" s="5">
        <v>46168</v>
      </c>
      <c r="I894" s="3" t="str">
        <f>TEXT(Table1[[#This Row],[Date]],"mmm")</f>
        <v>May</v>
      </c>
    </row>
    <row r="895" spans="1:9" x14ac:dyDescent="0.3">
      <c r="A895" s="3" t="s">
        <v>929</v>
      </c>
      <c r="B895" s="3" t="s">
        <v>8</v>
      </c>
      <c r="C895" s="3" t="s">
        <v>9</v>
      </c>
      <c r="D895" s="3">
        <v>4</v>
      </c>
      <c r="E895" s="4">
        <v>1685.25</v>
      </c>
      <c r="F895" s="4">
        <f t="shared" si="13"/>
        <v>6741</v>
      </c>
      <c r="G895" s="3" t="s">
        <v>48</v>
      </c>
      <c r="H895" s="5">
        <v>46114</v>
      </c>
      <c r="I895" s="3" t="str">
        <f>TEXT(Table1[[#This Row],[Date]],"mmm")</f>
        <v>Apr</v>
      </c>
    </row>
    <row r="896" spans="1:9" x14ac:dyDescent="0.3">
      <c r="A896" s="3" t="s">
        <v>930</v>
      </c>
      <c r="B896" s="3" t="s">
        <v>16</v>
      </c>
      <c r="C896" s="3" t="s">
        <v>17</v>
      </c>
      <c r="D896" s="3">
        <v>1</v>
      </c>
      <c r="E896" s="4">
        <v>482.63</v>
      </c>
      <c r="F896" s="4">
        <f t="shared" si="13"/>
        <v>482.63</v>
      </c>
      <c r="G896" s="3" t="s">
        <v>26</v>
      </c>
      <c r="H896" s="5">
        <v>46146</v>
      </c>
      <c r="I896" s="3" t="str">
        <f>TEXT(Table1[[#This Row],[Date]],"mmm")</f>
        <v>May</v>
      </c>
    </row>
    <row r="897" spans="1:9" x14ac:dyDescent="0.3">
      <c r="A897" s="3" t="s">
        <v>931</v>
      </c>
      <c r="B897" s="3" t="s">
        <v>44</v>
      </c>
      <c r="C897" s="3" t="s">
        <v>39</v>
      </c>
      <c r="D897" s="3">
        <v>1</v>
      </c>
      <c r="E897" s="4">
        <v>3771.32</v>
      </c>
      <c r="F897" s="4">
        <f t="shared" si="13"/>
        <v>3771.32</v>
      </c>
      <c r="G897" s="3" t="s">
        <v>22</v>
      </c>
      <c r="H897" s="5">
        <v>46034</v>
      </c>
      <c r="I897" s="3" t="str">
        <f>TEXT(Table1[[#This Row],[Date]],"mmm")</f>
        <v>Jan</v>
      </c>
    </row>
    <row r="898" spans="1:9" x14ac:dyDescent="0.3">
      <c r="A898" s="3" t="s">
        <v>932</v>
      </c>
      <c r="B898" s="3" t="s">
        <v>31</v>
      </c>
      <c r="C898" s="3" t="s">
        <v>13</v>
      </c>
      <c r="D898" s="3">
        <v>3</v>
      </c>
      <c r="E898" s="4">
        <v>18557.900000000001</v>
      </c>
      <c r="F898" s="4">
        <f t="shared" si="13"/>
        <v>55673.700000000004</v>
      </c>
      <c r="G898" s="3" t="s">
        <v>46</v>
      </c>
      <c r="H898" s="5">
        <v>46196</v>
      </c>
      <c r="I898" s="3" t="str">
        <f>TEXT(Table1[[#This Row],[Date]],"mmm")</f>
        <v>Jun</v>
      </c>
    </row>
    <row r="899" spans="1:9" x14ac:dyDescent="0.3">
      <c r="A899" s="3" t="s">
        <v>933</v>
      </c>
      <c r="B899" s="3" t="s">
        <v>80</v>
      </c>
      <c r="C899" s="3" t="s">
        <v>39</v>
      </c>
      <c r="D899" s="3">
        <v>5</v>
      </c>
      <c r="E899" s="4">
        <v>4387.97</v>
      </c>
      <c r="F899" s="4">
        <f t="shared" ref="F899:F962" si="14">D899*E899</f>
        <v>21939.850000000002</v>
      </c>
      <c r="G899" s="3" t="s">
        <v>29</v>
      </c>
      <c r="H899" s="5">
        <v>46194</v>
      </c>
      <c r="I899" s="3" t="str">
        <f>TEXT(Table1[[#This Row],[Date]],"mmm")</f>
        <v>Jun</v>
      </c>
    </row>
    <row r="900" spans="1:9" x14ac:dyDescent="0.3">
      <c r="A900" s="3" t="s">
        <v>934</v>
      </c>
      <c r="B900" s="3" t="s">
        <v>38</v>
      </c>
      <c r="C900" s="3" t="s">
        <v>39</v>
      </c>
      <c r="D900" s="3">
        <v>3</v>
      </c>
      <c r="E900" s="4">
        <v>6524.83</v>
      </c>
      <c r="F900" s="4">
        <f t="shared" si="14"/>
        <v>19574.489999999998</v>
      </c>
      <c r="G900" s="3" t="s">
        <v>50</v>
      </c>
      <c r="H900" s="5">
        <v>46047</v>
      </c>
      <c r="I900" s="3" t="str">
        <f>TEXT(Table1[[#This Row],[Date]],"mmm")</f>
        <v>Jan</v>
      </c>
    </row>
    <row r="901" spans="1:9" x14ac:dyDescent="0.3">
      <c r="A901" s="3" t="s">
        <v>935</v>
      </c>
      <c r="B901" s="3" t="s">
        <v>28</v>
      </c>
      <c r="C901" s="3" t="s">
        <v>9</v>
      </c>
      <c r="D901" s="3">
        <v>2</v>
      </c>
      <c r="E901" s="4">
        <v>4980.93</v>
      </c>
      <c r="F901" s="4">
        <f t="shared" si="14"/>
        <v>9961.86</v>
      </c>
      <c r="G901" s="3" t="s">
        <v>48</v>
      </c>
      <c r="H901" s="5">
        <v>46061</v>
      </c>
      <c r="I901" s="3" t="str">
        <f>TEXT(Table1[[#This Row],[Date]],"mmm")</f>
        <v>Feb</v>
      </c>
    </row>
    <row r="902" spans="1:9" x14ac:dyDescent="0.3">
      <c r="A902" s="3" t="s">
        <v>936</v>
      </c>
      <c r="B902" s="3" t="s">
        <v>38</v>
      </c>
      <c r="C902" s="3" t="s">
        <v>39</v>
      </c>
      <c r="D902" s="3">
        <v>5</v>
      </c>
      <c r="E902" s="4">
        <v>7009.68</v>
      </c>
      <c r="F902" s="4">
        <f t="shared" si="14"/>
        <v>35048.400000000001</v>
      </c>
      <c r="G902" s="3" t="s">
        <v>50</v>
      </c>
      <c r="H902" s="5">
        <v>46036</v>
      </c>
      <c r="I902" s="3" t="str">
        <f>TEXT(Table1[[#This Row],[Date]],"mmm")</f>
        <v>Jan</v>
      </c>
    </row>
    <row r="903" spans="1:9" x14ac:dyDescent="0.3">
      <c r="A903" s="3" t="s">
        <v>937</v>
      </c>
      <c r="B903" s="3" t="s">
        <v>91</v>
      </c>
      <c r="C903" s="3" t="s">
        <v>13</v>
      </c>
      <c r="D903" s="3">
        <v>2</v>
      </c>
      <c r="E903" s="4">
        <v>55061.24</v>
      </c>
      <c r="F903" s="4">
        <f t="shared" si="14"/>
        <v>110122.48</v>
      </c>
      <c r="G903" s="3" t="s">
        <v>22</v>
      </c>
      <c r="H903" s="5">
        <v>46149</v>
      </c>
      <c r="I903" s="3" t="str">
        <f>TEXT(Table1[[#This Row],[Date]],"mmm")</f>
        <v>May</v>
      </c>
    </row>
    <row r="904" spans="1:9" x14ac:dyDescent="0.3">
      <c r="A904" s="3" t="s">
        <v>938</v>
      </c>
      <c r="B904" s="3" t="s">
        <v>38</v>
      </c>
      <c r="C904" s="3" t="s">
        <v>39</v>
      </c>
      <c r="D904" s="3">
        <v>2</v>
      </c>
      <c r="E904" s="4">
        <v>5947.32</v>
      </c>
      <c r="F904" s="4">
        <f t="shared" si="14"/>
        <v>11894.64</v>
      </c>
      <c r="G904" s="3" t="s">
        <v>22</v>
      </c>
      <c r="H904" s="5">
        <v>46105</v>
      </c>
      <c r="I904" s="3" t="str">
        <f>TEXT(Table1[[#This Row],[Date]],"mmm")</f>
        <v>Mar</v>
      </c>
    </row>
    <row r="905" spans="1:9" x14ac:dyDescent="0.3">
      <c r="A905" s="3" t="s">
        <v>939</v>
      </c>
      <c r="B905" s="3" t="s">
        <v>12</v>
      </c>
      <c r="C905" s="3" t="s">
        <v>13</v>
      </c>
      <c r="D905" s="3">
        <v>3</v>
      </c>
      <c r="E905" s="4">
        <v>1641.04</v>
      </c>
      <c r="F905" s="4">
        <f t="shared" si="14"/>
        <v>4923.12</v>
      </c>
      <c r="G905" s="3" t="s">
        <v>46</v>
      </c>
      <c r="H905" s="5">
        <v>46152</v>
      </c>
      <c r="I905" s="3" t="str">
        <f>TEXT(Table1[[#This Row],[Date]],"mmm")</f>
        <v>May</v>
      </c>
    </row>
    <row r="906" spans="1:9" x14ac:dyDescent="0.3">
      <c r="A906" s="3" t="s">
        <v>940</v>
      </c>
      <c r="B906" s="3" t="s">
        <v>12</v>
      </c>
      <c r="C906" s="3" t="s">
        <v>13</v>
      </c>
      <c r="D906" s="3">
        <v>5</v>
      </c>
      <c r="E906" s="4">
        <v>1543</v>
      </c>
      <c r="F906" s="4">
        <f t="shared" si="14"/>
        <v>7715</v>
      </c>
      <c r="G906" s="3" t="s">
        <v>48</v>
      </c>
      <c r="H906" s="5">
        <v>46083</v>
      </c>
      <c r="I906" s="3" t="str">
        <f>TEXT(Table1[[#This Row],[Date]],"mmm")</f>
        <v>Mar</v>
      </c>
    </row>
    <row r="907" spans="1:9" x14ac:dyDescent="0.3">
      <c r="A907" s="3" t="s">
        <v>941</v>
      </c>
      <c r="B907" s="3" t="s">
        <v>31</v>
      </c>
      <c r="C907" s="3" t="s">
        <v>13</v>
      </c>
      <c r="D907" s="3">
        <v>4</v>
      </c>
      <c r="E907" s="4">
        <v>17799.080000000002</v>
      </c>
      <c r="F907" s="4">
        <f t="shared" si="14"/>
        <v>71196.320000000007</v>
      </c>
      <c r="G907" s="3" t="s">
        <v>50</v>
      </c>
      <c r="H907" s="5">
        <v>46137</v>
      </c>
      <c r="I907" s="3" t="str">
        <f>TEXT(Table1[[#This Row],[Date]],"mmm")</f>
        <v>Apr</v>
      </c>
    </row>
    <row r="908" spans="1:9" x14ac:dyDescent="0.3">
      <c r="A908" s="3" t="s">
        <v>942</v>
      </c>
      <c r="B908" s="3" t="s">
        <v>31</v>
      </c>
      <c r="C908" s="3" t="s">
        <v>13</v>
      </c>
      <c r="D908" s="3">
        <v>4</v>
      </c>
      <c r="E908" s="4">
        <v>17809.45</v>
      </c>
      <c r="F908" s="4">
        <f t="shared" si="14"/>
        <v>71237.8</v>
      </c>
      <c r="G908" s="3" t="s">
        <v>18</v>
      </c>
      <c r="H908" s="5">
        <v>46150</v>
      </c>
      <c r="I908" s="3" t="str">
        <f>TEXT(Table1[[#This Row],[Date]],"mmm")</f>
        <v>May</v>
      </c>
    </row>
    <row r="909" spans="1:9" x14ac:dyDescent="0.3">
      <c r="A909" s="3" t="s">
        <v>943</v>
      </c>
      <c r="B909" s="3" t="s">
        <v>21</v>
      </c>
      <c r="C909" s="3" t="s">
        <v>13</v>
      </c>
      <c r="D909" s="3">
        <v>1</v>
      </c>
      <c r="E909" s="4">
        <v>25774.799999999999</v>
      </c>
      <c r="F909" s="4">
        <f t="shared" si="14"/>
        <v>25774.799999999999</v>
      </c>
      <c r="G909" s="3" t="s">
        <v>48</v>
      </c>
      <c r="H909" s="5">
        <v>46032</v>
      </c>
      <c r="I909" s="3" t="str">
        <f>TEXT(Table1[[#This Row],[Date]],"mmm")</f>
        <v>Jan</v>
      </c>
    </row>
    <row r="910" spans="1:9" x14ac:dyDescent="0.3">
      <c r="A910" s="3" t="s">
        <v>944</v>
      </c>
      <c r="B910" s="3" t="s">
        <v>80</v>
      </c>
      <c r="C910" s="3" t="s">
        <v>39</v>
      </c>
      <c r="D910" s="3">
        <v>5</v>
      </c>
      <c r="E910" s="4">
        <v>3780.14</v>
      </c>
      <c r="F910" s="4">
        <f t="shared" si="14"/>
        <v>18900.7</v>
      </c>
      <c r="G910" s="3" t="s">
        <v>18</v>
      </c>
      <c r="H910" s="5">
        <v>46177</v>
      </c>
      <c r="I910" s="3" t="str">
        <f>TEXT(Table1[[#This Row],[Date]],"mmm")</f>
        <v>Jun</v>
      </c>
    </row>
    <row r="911" spans="1:9" x14ac:dyDescent="0.3">
      <c r="A911" s="3" t="s">
        <v>945</v>
      </c>
      <c r="B911" s="3" t="s">
        <v>16</v>
      </c>
      <c r="C911" s="3" t="s">
        <v>17</v>
      </c>
      <c r="D911" s="3">
        <v>3</v>
      </c>
      <c r="E911" s="4">
        <v>485.11</v>
      </c>
      <c r="F911" s="4">
        <f t="shared" si="14"/>
        <v>1455.33</v>
      </c>
      <c r="G911" s="3" t="s">
        <v>14</v>
      </c>
      <c r="H911" s="5">
        <v>46075</v>
      </c>
      <c r="I911" s="3" t="str">
        <f>TEXT(Table1[[#This Row],[Date]],"mmm")</f>
        <v>Feb</v>
      </c>
    </row>
    <row r="912" spans="1:9" x14ac:dyDescent="0.3">
      <c r="A912" s="3" t="s">
        <v>946</v>
      </c>
      <c r="B912" s="3" t="s">
        <v>8</v>
      </c>
      <c r="C912" s="3" t="s">
        <v>9</v>
      </c>
      <c r="D912" s="3">
        <v>4</v>
      </c>
      <c r="E912" s="4">
        <v>1962.13</v>
      </c>
      <c r="F912" s="4">
        <f t="shared" si="14"/>
        <v>7848.52</v>
      </c>
      <c r="G912" s="3" t="s">
        <v>32</v>
      </c>
      <c r="H912" s="5">
        <v>46036</v>
      </c>
      <c r="I912" s="3" t="str">
        <f>TEXT(Table1[[#This Row],[Date]],"mmm")</f>
        <v>Jan</v>
      </c>
    </row>
    <row r="913" spans="1:9" x14ac:dyDescent="0.3">
      <c r="A913" s="3" t="s">
        <v>947</v>
      </c>
      <c r="B913" s="3" t="s">
        <v>38</v>
      </c>
      <c r="C913" s="3" t="s">
        <v>39</v>
      </c>
      <c r="D913" s="3">
        <v>2</v>
      </c>
      <c r="E913" s="4">
        <v>6947.61</v>
      </c>
      <c r="F913" s="4">
        <f t="shared" si="14"/>
        <v>13895.22</v>
      </c>
      <c r="G913" s="3" t="s">
        <v>32</v>
      </c>
      <c r="H913" s="5">
        <v>46166</v>
      </c>
      <c r="I913" s="3" t="str">
        <f>TEXT(Table1[[#This Row],[Date]],"mmm")</f>
        <v>May</v>
      </c>
    </row>
    <row r="914" spans="1:9" x14ac:dyDescent="0.3">
      <c r="A914" s="3" t="s">
        <v>948</v>
      </c>
      <c r="B914" s="3" t="s">
        <v>62</v>
      </c>
      <c r="C914" s="3" t="s">
        <v>25</v>
      </c>
      <c r="D914" s="3">
        <v>5</v>
      </c>
      <c r="E914" s="4">
        <v>2038.96</v>
      </c>
      <c r="F914" s="4">
        <f t="shared" si="14"/>
        <v>10194.799999999999</v>
      </c>
      <c r="G914" s="3" t="s">
        <v>32</v>
      </c>
      <c r="H914" s="5">
        <v>46138</v>
      </c>
      <c r="I914" s="3" t="str">
        <f>TEXT(Table1[[#This Row],[Date]],"mmm")</f>
        <v>Apr</v>
      </c>
    </row>
    <row r="915" spans="1:9" x14ac:dyDescent="0.3">
      <c r="A915" s="3" t="s">
        <v>949</v>
      </c>
      <c r="B915" s="3" t="s">
        <v>31</v>
      </c>
      <c r="C915" s="3" t="s">
        <v>13</v>
      </c>
      <c r="D915" s="3">
        <v>1</v>
      </c>
      <c r="E915" s="4">
        <v>18933.55</v>
      </c>
      <c r="F915" s="4">
        <f t="shared" si="14"/>
        <v>18933.55</v>
      </c>
      <c r="G915" s="3" t="s">
        <v>29</v>
      </c>
      <c r="H915" s="5">
        <v>46023</v>
      </c>
      <c r="I915" s="3" t="str">
        <f>TEXT(Table1[[#This Row],[Date]],"mmm")</f>
        <v>Jan</v>
      </c>
    </row>
    <row r="916" spans="1:9" x14ac:dyDescent="0.3">
      <c r="A916" s="3" t="s">
        <v>950</v>
      </c>
      <c r="B916" s="3" t="s">
        <v>55</v>
      </c>
      <c r="C916" s="3" t="s">
        <v>25</v>
      </c>
      <c r="D916" s="3">
        <v>3</v>
      </c>
      <c r="E916" s="4">
        <v>2663.88</v>
      </c>
      <c r="F916" s="4">
        <f t="shared" si="14"/>
        <v>7991.64</v>
      </c>
      <c r="G916" s="3" t="s">
        <v>10</v>
      </c>
      <c r="H916" s="5">
        <v>46163</v>
      </c>
      <c r="I916" s="3" t="str">
        <f>TEXT(Table1[[#This Row],[Date]],"mmm")</f>
        <v>May</v>
      </c>
    </row>
    <row r="917" spans="1:9" x14ac:dyDescent="0.3">
      <c r="A917" s="3" t="s">
        <v>951</v>
      </c>
      <c r="B917" s="3" t="s">
        <v>80</v>
      </c>
      <c r="C917" s="3" t="s">
        <v>39</v>
      </c>
      <c r="D917" s="3">
        <v>3</v>
      </c>
      <c r="E917" s="4">
        <v>4369.76</v>
      </c>
      <c r="F917" s="4">
        <f t="shared" si="14"/>
        <v>13109.28</v>
      </c>
      <c r="G917" s="3" t="s">
        <v>46</v>
      </c>
      <c r="H917" s="5">
        <v>46065</v>
      </c>
      <c r="I917" s="3" t="str">
        <f>TEXT(Table1[[#This Row],[Date]],"mmm")</f>
        <v>Feb</v>
      </c>
    </row>
    <row r="918" spans="1:9" x14ac:dyDescent="0.3">
      <c r="A918" s="3" t="s">
        <v>952</v>
      </c>
      <c r="B918" s="3" t="s">
        <v>44</v>
      </c>
      <c r="C918" s="3" t="s">
        <v>39</v>
      </c>
      <c r="D918" s="3">
        <v>2</v>
      </c>
      <c r="E918" s="4">
        <v>3725.29</v>
      </c>
      <c r="F918" s="4">
        <f t="shared" si="14"/>
        <v>7450.58</v>
      </c>
      <c r="G918" s="3" t="s">
        <v>48</v>
      </c>
      <c r="H918" s="5">
        <v>46050</v>
      </c>
      <c r="I918" s="3" t="str">
        <f>TEXT(Table1[[#This Row],[Date]],"mmm")</f>
        <v>Jan</v>
      </c>
    </row>
    <row r="919" spans="1:9" x14ac:dyDescent="0.3">
      <c r="A919" s="3" t="s">
        <v>953</v>
      </c>
      <c r="B919" s="3" t="s">
        <v>24</v>
      </c>
      <c r="C919" s="3" t="s">
        <v>25</v>
      </c>
      <c r="D919" s="3">
        <v>5</v>
      </c>
      <c r="E919" s="4">
        <v>750.41</v>
      </c>
      <c r="F919" s="4">
        <f t="shared" si="14"/>
        <v>3752.0499999999997</v>
      </c>
      <c r="G919" s="3" t="s">
        <v>18</v>
      </c>
      <c r="H919" s="5">
        <v>46123</v>
      </c>
      <c r="I919" s="3" t="str">
        <f>TEXT(Table1[[#This Row],[Date]],"mmm")</f>
        <v>Apr</v>
      </c>
    </row>
    <row r="920" spans="1:9" x14ac:dyDescent="0.3">
      <c r="A920" s="3" t="s">
        <v>954</v>
      </c>
      <c r="B920" s="3" t="s">
        <v>12</v>
      </c>
      <c r="C920" s="3" t="s">
        <v>13</v>
      </c>
      <c r="D920" s="3">
        <v>4</v>
      </c>
      <c r="E920" s="4">
        <v>1597.37</v>
      </c>
      <c r="F920" s="4">
        <f t="shared" si="14"/>
        <v>6389.48</v>
      </c>
      <c r="G920" s="3" t="s">
        <v>29</v>
      </c>
      <c r="H920" s="5">
        <v>46109</v>
      </c>
      <c r="I920" s="3" t="str">
        <f>TEXT(Table1[[#This Row],[Date]],"mmm")</f>
        <v>Mar</v>
      </c>
    </row>
    <row r="921" spans="1:9" x14ac:dyDescent="0.3">
      <c r="A921" s="3" t="s">
        <v>955</v>
      </c>
      <c r="B921" s="3" t="s">
        <v>31</v>
      </c>
      <c r="C921" s="3" t="s">
        <v>13</v>
      </c>
      <c r="D921" s="3">
        <v>4</v>
      </c>
      <c r="E921" s="4">
        <v>16367.4</v>
      </c>
      <c r="F921" s="4">
        <f t="shared" si="14"/>
        <v>65469.599999999999</v>
      </c>
      <c r="G921" s="3" t="s">
        <v>50</v>
      </c>
      <c r="H921" s="5">
        <v>46054</v>
      </c>
      <c r="I921" s="3" t="str">
        <f>TEXT(Table1[[#This Row],[Date]],"mmm")</f>
        <v>Feb</v>
      </c>
    </row>
    <row r="922" spans="1:9" x14ac:dyDescent="0.3">
      <c r="A922" s="3" t="s">
        <v>956</v>
      </c>
      <c r="B922" s="3" t="s">
        <v>62</v>
      </c>
      <c r="C922" s="3" t="s">
        <v>25</v>
      </c>
      <c r="D922" s="3">
        <v>4</v>
      </c>
      <c r="E922" s="4">
        <v>1981.96</v>
      </c>
      <c r="F922" s="4">
        <f t="shared" si="14"/>
        <v>7927.84</v>
      </c>
      <c r="G922" s="3" t="s">
        <v>50</v>
      </c>
      <c r="H922" s="5">
        <v>46152</v>
      </c>
      <c r="I922" s="3" t="str">
        <f>TEXT(Table1[[#This Row],[Date]],"mmm")</f>
        <v>May</v>
      </c>
    </row>
    <row r="923" spans="1:9" x14ac:dyDescent="0.3">
      <c r="A923" s="3" t="s">
        <v>957</v>
      </c>
      <c r="B923" s="3" t="s">
        <v>72</v>
      </c>
      <c r="C923" s="3" t="s">
        <v>13</v>
      </c>
      <c r="D923" s="3">
        <v>4</v>
      </c>
      <c r="E923" s="4">
        <v>1981.91</v>
      </c>
      <c r="F923" s="4">
        <f t="shared" si="14"/>
        <v>7927.64</v>
      </c>
      <c r="G923" s="3" t="s">
        <v>46</v>
      </c>
      <c r="H923" s="5">
        <v>46164</v>
      </c>
      <c r="I923" s="3" t="str">
        <f>TEXT(Table1[[#This Row],[Date]],"mmm")</f>
        <v>May</v>
      </c>
    </row>
    <row r="924" spans="1:9" x14ac:dyDescent="0.3">
      <c r="A924" s="3" t="s">
        <v>958</v>
      </c>
      <c r="B924" s="3" t="s">
        <v>28</v>
      </c>
      <c r="C924" s="3" t="s">
        <v>9</v>
      </c>
      <c r="D924" s="3">
        <v>5</v>
      </c>
      <c r="E924" s="4">
        <v>4981.9399999999996</v>
      </c>
      <c r="F924" s="4">
        <f t="shared" si="14"/>
        <v>24909.699999999997</v>
      </c>
      <c r="G924" s="3" t="s">
        <v>14</v>
      </c>
      <c r="H924" s="5">
        <v>46068</v>
      </c>
      <c r="I924" s="3" t="str">
        <f>TEXT(Table1[[#This Row],[Date]],"mmm")</f>
        <v>Feb</v>
      </c>
    </row>
    <row r="925" spans="1:9" x14ac:dyDescent="0.3">
      <c r="A925" s="3" t="s">
        <v>959</v>
      </c>
      <c r="B925" s="3" t="s">
        <v>21</v>
      </c>
      <c r="C925" s="3" t="s">
        <v>13</v>
      </c>
      <c r="D925" s="3">
        <v>5</v>
      </c>
      <c r="E925" s="4">
        <v>26172.44</v>
      </c>
      <c r="F925" s="4">
        <f t="shared" si="14"/>
        <v>130862.2</v>
      </c>
      <c r="G925" s="3" t="s">
        <v>26</v>
      </c>
      <c r="H925" s="5">
        <v>46049</v>
      </c>
      <c r="I925" s="3" t="str">
        <f>TEXT(Table1[[#This Row],[Date]],"mmm")</f>
        <v>Jan</v>
      </c>
    </row>
    <row r="926" spans="1:9" x14ac:dyDescent="0.3">
      <c r="A926" s="3" t="s">
        <v>960</v>
      </c>
      <c r="B926" s="3" t="s">
        <v>28</v>
      </c>
      <c r="C926" s="3" t="s">
        <v>9</v>
      </c>
      <c r="D926" s="3">
        <v>5</v>
      </c>
      <c r="E926" s="4">
        <v>5105.1400000000003</v>
      </c>
      <c r="F926" s="4">
        <f t="shared" si="14"/>
        <v>25525.7</v>
      </c>
      <c r="G926" s="3" t="s">
        <v>32</v>
      </c>
      <c r="H926" s="5">
        <v>46152</v>
      </c>
      <c r="I926" s="3" t="str">
        <f>TEXT(Table1[[#This Row],[Date]],"mmm")</f>
        <v>May</v>
      </c>
    </row>
    <row r="927" spans="1:9" x14ac:dyDescent="0.3">
      <c r="A927" s="3" t="s">
        <v>961</v>
      </c>
      <c r="B927" s="3" t="s">
        <v>28</v>
      </c>
      <c r="C927" s="3" t="s">
        <v>9</v>
      </c>
      <c r="D927" s="3">
        <v>4</v>
      </c>
      <c r="E927" s="4">
        <v>5478.4</v>
      </c>
      <c r="F927" s="4">
        <f t="shared" si="14"/>
        <v>21913.599999999999</v>
      </c>
      <c r="G927" s="3" t="s">
        <v>29</v>
      </c>
      <c r="H927" s="5">
        <v>46093</v>
      </c>
      <c r="I927" s="3" t="str">
        <f>TEXT(Table1[[#This Row],[Date]],"mmm")</f>
        <v>Mar</v>
      </c>
    </row>
    <row r="928" spans="1:9" x14ac:dyDescent="0.3">
      <c r="A928" s="3" t="s">
        <v>962</v>
      </c>
      <c r="B928" s="3" t="s">
        <v>28</v>
      </c>
      <c r="C928" s="3" t="s">
        <v>9</v>
      </c>
      <c r="D928" s="3">
        <v>3</v>
      </c>
      <c r="E928" s="4">
        <v>5469.4</v>
      </c>
      <c r="F928" s="4">
        <f t="shared" si="14"/>
        <v>16408.199999999997</v>
      </c>
      <c r="G928" s="3" t="s">
        <v>22</v>
      </c>
      <c r="H928" s="5">
        <v>46057</v>
      </c>
      <c r="I928" s="3" t="str">
        <f>TEXT(Table1[[#This Row],[Date]],"mmm")</f>
        <v>Feb</v>
      </c>
    </row>
    <row r="929" spans="1:9" x14ac:dyDescent="0.3">
      <c r="A929" s="3" t="s">
        <v>963</v>
      </c>
      <c r="B929" s="3" t="s">
        <v>72</v>
      </c>
      <c r="C929" s="3" t="s">
        <v>13</v>
      </c>
      <c r="D929" s="3">
        <v>4</v>
      </c>
      <c r="E929" s="4">
        <v>2245.11</v>
      </c>
      <c r="F929" s="4">
        <f t="shared" si="14"/>
        <v>8980.44</v>
      </c>
      <c r="G929" s="3" t="s">
        <v>14</v>
      </c>
      <c r="H929" s="5">
        <v>46099</v>
      </c>
      <c r="I929" s="3" t="str">
        <f>TEXT(Table1[[#This Row],[Date]],"mmm")</f>
        <v>Mar</v>
      </c>
    </row>
    <row r="930" spans="1:9" x14ac:dyDescent="0.3">
      <c r="A930" s="3" t="s">
        <v>964</v>
      </c>
      <c r="B930" s="3" t="s">
        <v>38</v>
      </c>
      <c r="C930" s="3" t="s">
        <v>39</v>
      </c>
      <c r="D930" s="3">
        <v>5</v>
      </c>
      <c r="E930" s="4">
        <v>6968.92</v>
      </c>
      <c r="F930" s="4">
        <f t="shared" si="14"/>
        <v>34844.6</v>
      </c>
      <c r="G930" s="3" t="s">
        <v>14</v>
      </c>
      <c r="H930" s="5">
        <v>46184</v>
      </c>
      <c r="I930" s="3" t="str">
        <f>TEXT(Table1[[#This Row],[Date]],"mmm")</f>
        <v>Jun</v>
      </c>
    </row>
    <row r="931" spans="1:9" x14ac:dyDescent="0.3">
      <c r="A931" s="3" t="s">
        <v>965</v>
      </c>
      <c r="B931" s="3" t="s">
        <v>12</v>
      </c>
      <c r="C931" s="3" t="s">
        <v>13</v>
      </c>
      <c r="D931" s="3">
        <v>2</v>
      </c>
      <c r="E931" s="4">
        <v>1412.91</v>
      </c>
      <c r="F931" s="4">
        <f t="shared" si="14"/>
        <v>2825.82</v>
      </c>
      <c r="G931" s="3" t="s">
        <v>10</v>
      </c>
      <c r="H931" s="5">
        <v>46198</v>
      </c>
      <c r="I931" s="3" t="str">
        <f>TEXT(Table1[[#This Row],[Date]],"mmm")</f>
        <v>Jun</v>
      </c>
    </row>
    <row r="932" spans="1:9" x14ac:dyDescent="0.3">
      <c r="A932" s="3" t="s">
        <v>966</v>
      </c>
      <c r="B932" s="3" t="s">
        <v>55</v>
      </c>
      <c r="C932" s="3" t="s">
        <v>25</v>
      </c>
      <c r="D932" s="3">
        <v>2</v>
      </c>
      <c r="E932" s="4">
        <v>2739.57</v>
      </c>
      <c r="F932" s="4">
        <f t="shared" si="14"/>
        <v>5479.14</v>
      </c>
      <c r="G932" s="3" t="s">
        <v>26</v>
      </c>
      <c r="H932" s="5">
        <v>46151</v>
      </c>
      <c r="I932" s="3" t="str">
        <f>TEXT(Table1[[#This Row],[Date]],"mmm")</f>
        <v>May</v>
      </c>
    </row>
    <row r="933" spans="1:9" x14ac:dyDescent="0.3">
      <c r="A933" s="3" t="s">
        <v>967</v>
      </c>
      <c r="B933" s="3" t="s">
        <v>80</v>
      </c>
      <c r="C933" s="3" t="s">
        <v>39</v>
      </c>
      <c r="D933" s="3">
        <v>3</v>
      </c>
      <c r="E933" s="4">
        <v>4376.7</v>
      </c>
      <c r="F933" s="4">
        <f t="shared" si="14"/>
        <v>13130.099999999999</v>
      </c>
      <c r="G933" s="3" t="s">
        <v>32</v>
      </c>
      <c r="H933" s="5">
        <v>46166</v>
      </c>
      <c r="I933" s="3" t="str">
        <f>TEXT(Table1[[#This Row],[Date]],"mmm")</f>
        <v>May</v>
      </c>
    </row>
    <row r="934" spans="1:9" x14ac:dyDescent="0.3">
      <c r="A934" s="3" t="s">
        <v>968</v>
      </c>
      <c r="B934" s="3" t="s">
        <v>44</v>
      </c>
      <c r="C934" s="3" t="s">
        <v>39</v>
      </c>
      <c r="D934" s="3">
        <v>5</v>
      </c>
      <c r="E934" s="4">
        <v>3549.45</v>
      </c>
      <c r="F934" s="4">
        <f t="shared" si="14"/>
        <v>17747.25</v>
      </c>
      <c r="G934" s="3" t="s">
        <v>48</v>
      </c>
      <c r="H934" s="5">
        <v>46195</v>
      </c>
      <c r="I934" s="3" t="str">
        <f>TEXT(Table1[[#This Row],[Date]],"mmm")</f>
        <v>Jun</v>
      </c>
    </row>
    <row r="935" spans="1:9" x14ac:dyDescent="0.3">
      <c r="A935" s="3" t="s">
        <v>969</v>
      </c>
      <c r="B935" s="3" t="s">
        <v>21</v>
      </c>
      <c r="C935" s="3" t="s">
        <v>13</v>
      </c>
      <c r="D935" s="3">
        <v>5</v>
      </c>
      <c r="E935" s="4">
        <v>26801.200000000001</v>
      </c>
      <c r="F935" s="4">
        <f t="shared" si="14"/>
        <v>134006</v>
      </c>
      <c r="G935" s="3" t="s">
        <v>48</v>
      </c>
      <c r="H935" s="5">
        <v>46026</v>
      </c>
      <c r="I935" s="3" t="str">
        <f>TEXT(Table1[[#This Row],[Date]],"mmm")</f>
        <v>Jan</v>
      </c>
    </row>
    <row r="936" spans="1:9" x14ac:dyDescent="0.3">
      <c r="A936" s="3" t="s">
        <v>970</v>
      </c>
      <c r="B936" s="3" t="s">
        <v>80</v>
      </c>
      <c r="C936" s="3" t="s">
        <v>39</v>
      </c>
      <c r="D936" s="3">
        <v>1</v>
      </c>
      <c r="E936" s="4">
        <v>3801.23</v>
      </c>
      <c r="F936" s="4">
        <f t="shared" si="14"/>
        <v>3801.23</v>
      </c>
      <c r="G936" s="3" t="s">
        <v>26</v>
      </c>
      <c r="H936" s="5">
        <v>46036</v>
      </c>
      <c r="I936" s="3" t="str">
        <f>TEXT(Table1[[#This Row],[Date]],"mmm")</f>
        <v>Jan</v>
      </c>
    </row>
    <row r="937" spans="1:9" x14ac:dyDescent="0.3">
      <c r="A937" s="3" t="s">
        <v>971</v>
      </c>
      <c r="B937" s="3" t="s">
        <v>8</v>
      </c>
      <c r="C937" s="3" t="s">
        <v>9</v>
      </c>
      <c r="D937" s="3">
        <v>1</v>
      </c>
      <c r="E937" s="4">
        <v>1691.96</v>
      </c>
      <c r="F937" s="4">
        <f t="shared" si="14"/>
        <v>1691.96</v>
      </c>
      <c r="G937" s="3" t="s">
        <v>26</v>
      </c>
      <c r="H937" s="5">
        <v>46096</v>
      </c>
      <c r="I937" s="3" t="str">
        <f>TEXT(Table1[[#This Row],[Date]],"mmm")</f>
        <v>Mar</v>
      </c>
    </row>
    <row r="938" spans="1:9" x14ac:dyDescent="0.3">
      <c r="A938" s="3" t="s">
        <v>972</v>
      </c>
      <c r="B938" s="3" t="s">
        <v>8</v>
      </c>
      <c r="C938" s="3" t="s">
        <v>9</v>
      </c>
      <c r="D938" s="3">
        <v>3</v>
      </c>
      <c r="E938" s="4">
        <v>1672.71</v>
      </c>
      <c r="F938" s="4">
        <f t="shared" si="14"/>
        <v>5018.13</v>
      </c>
      <c r="G938" s="3" t="s">
        <v>46</v>
      </c>
      <c r="H938" s="5">
        <v>46199</v>
      </c>
      <c r="I938" s="3" t="str">
        <f>TEXT(Table1[[#This Row],[Date]],"mmm")</f>
        <v>Jun</v>
      </c>
    </row>
    <row r="939" spans="1:9" x14ac:dyDescent="0.3">
      <c r="A939" s="3" t="s">
        <v>973</v>
      </c>
      <c r="B939" s="3" t="s">
        <v>62</v>
      </c>
      <c r="C939" s="3" t="s">
        <v>25</v>
      </c>
      <c r="D939" s="3">
        <v>3</v>
      </c>
      <c r="E939" s="4">
        <v>1880.66</v>
      </c>
      <c r="F939" s="4">
        <f t="shared" si="14"/>
        <v>5641.9800000000005</v>
      </c>
      <c r="G939" s="3" t="s">
        <v>14</v>
      </c>
      <c r="H939" s="5">
        <v>46031</v>
      </c>
      <c r="I939" s="3" t="str">
        <f>TEXT(Table1[[#This Row],[Date]],"mmm")</f>
        <v>Jan</v>
      </c>
    </row>
    <row r="940" spans="1:9" x14ac:dyDescent="0.3">
      <c r="A940" s="3" t="s">
        <v>974</v>
      </c>
      <c r="B940" s="3" t="s">
        <v>55</v>
      </c>
      <c r="C940" s="3" t="s">
        <v>25</v>
      </c>
      <c r="D940" s="3">
        <v>4</v>
      </c>
      <c r="E940" s="4">
        <v>2300.3200000000002</v>
      </c>
      <c r="F940" s="4">
        <f t="shared" si="14"/>
        <v>9201.2800000000007</v>
      </c>
      <c r="G940" s="3" t="s">
        <v>14</v>
      </c>
      <c r="H940" s="5">
        <v>46080</v>
      </c>
      <c r="I940" s="3" t="str">
        <f>TEXT(Table1[[#This Row],[Date]],"mmm")</f>
        <v>Feb</v>
      </c>
    </row>
    <row r="941" spans="1:9" x14ac:dyDescent="0.3">
      <c r="A941" s="3" t="s">
        <v>975</v>
      </c>
      <c r="B941" s="3" t="s">
        <v>21</v>
      </c>
      <c r="C941" s="3" t="s">
        <v>13</v>
      </c>
      <c r="D941" s="3">
        <v>5</v>
      </c>
      <c r="E941" s="4">
        <v>27377.77</v>
      </c>
      <c r="F941" s="4">
        <f t="shared" si="14"/>
        <v>136888.85</v>
      </c>
      <c r="G941" s="3" t="s">
        <v>14</v>
      </c>
      <c r="H941" s="5">
        <v>46201</v>
      </c>
      <c r="I941" s="3" t="str">
        <f>TEXT(Table1[[#This Row],[Date]],"mmm")</f>
        <v>Jun</v>
      </c>
    </row>
    <row r="942" spans="1:9" x14ac:dyDescent="0.3">
      <c r="A942" s="3" t="s">
        <v>976</v>
      </c>
      <c r="B942" s="3" t="s">
        <v>24</v>
      </c>
      <c r="C942" s="3" t="s">
        <v>25</v>
      </c>
      <c r="D942" s="3">
        <v>1</v>
      </c>
      <c r="E942" s="4">
        <v>867.15</v>
      </c>
      <c r="F942" s="4">
        <f t="shared" si="14"/>
        <v>867.15</v>
      </c>
      <c r="G942" s="3" t="s">
        <v>48</v>
      </c>
      <c r="H942" s="5">
        <v>46129</v>
      </c>
      <c r="I942" s="3" t="str">
        <f>TEXT(Table1[[#This Row],[Date]],"mmm")</f>
        <v>Apr</v>
      </c>
    </row>
    <row r="943" spans="1:9" x14ac:dyDescent="0.3">
      <c r="A943" s="3" t="s">
        <v>977</v>
      </c>
      <c r="B943" s="3" t="s">
        <v>62</v>
      </c>
      <c r="C943" s="3" t="s">
        <v>25</v>
      </c>
      <c r="D943" s="3">
        <v>3</v>
      </c>
      <c r="E943" s="4">
        <v>2185.2399999999998</v>
      </c>
      <c r="F943" s="4">
        <f t="shared" si="14"/>
        <v>6555.7199999999993</v>
      </c>
      <c r="G943" s="3" t="s">
        <v>46</v>
      </c>
      <c r="H943" s="5">
        <v>46026</v>
      </c>
      <c r="I943" s="3" t="str">
        <f>TEXT(Table1[[#This Row],[Date]],"mmm")</f>
        <v>Jan</v>
      </c>
    </row>
    <row r="944" spans="1:9" x14ac:dyDescent="0.3">
      <c r="A944" s="3" t="s">
        <v>978</v>
      </c>
      <c r="B944" s="3" t="s">
        <v>21</v>
      </c>
      <c r="C944" s="3" t="s">
        <v>13</v>
      </c>
      <c r="D944" s="3">
        <v>3</v>
      </c>
      <c r="E944" s="4">
        <v>26337.29</v>
      </c>
      <c r="F944" s="4">
        <f t="shared" si="14"/>
        <v>79011.87</v>
      </c>
      <c r="G944" s="3" t="s">
        <v>22</v>
      </c>
      <c r="H944" s="5">
        <v>46080</v>
      </c>
      <c r="I944" s="3" t="str">
        <f>TEXT(Table1[[#This Row],[Date]],"mmm")</f>
        <v>Feb</v>
      </c>
    </row>
    <row r="945" spans="1:9" x14ac:dyDescent="0.3">
      <c r="A945" s="3" t="s">
        <v>979</v>
      </c>
      <c r="B945" s="3" t="s">
        <v>8</v>
      </c>
      <c r="C945" s="3" t="s">
        <v>9</v>
      </c>
      <c r="D945" s="3">
        <v>3</v>
      </c>
      <c r="E945" s="4">
        <v>1891.84</v>
      </c>
      <c r="F945" s="4">
        <f t="shared" si="14"/>
        <v>5675.5199999999995</v>
      </c>
      <c r="G945" s="3" t="s">
        <v>14</v>
      </c>
      <c r="H945" s="5">
        <v>46177</v>
      </c>
      <c r="I945" s="3" t="str">
        <f>TEXT(Table1[[#This Row],[Date]],"mmm")</f>
        <v>Jun</v>
      </c>
    </row>
    <row r="946" spans="1:9" x14ac:dyDescent="0.3">
      <c r="A946" s="3" t="s">
        <v>980</v>
      </c>
      <c r="B946" s="3" t="s">
        <v>12</v>
      </c>
      <c r="C946" s="3" t="s">
        <v>13</v>
      </c>
      <c r="D946" s="3">
        <v>2</v>
      </c>
      <c r="E946" s="4">
        <v>1438.25</v>
      </c>
      <c r="F946" s="4">
        <f t="shared" si="14"/>
        <v>2876.5</v>
      </c>
      <c r="G946" s="3" t="s">
        <v>26</v>
      </c>
      <c r="H946" s="5">
        <v>46197</v>
      </c>
      <c r="I946" s="3" t="str">
        <f>TEXT(Table1[[#This Row],[Date]],"mmm")</f>
        <v>Jun</v>
      </c>
    </row>
    <row r="947" spans="1:9" x14ac:dyDescent="0.3">
      <c r="A947" s="3" t="s">
        <v>981</v>
      </c>
      <c r="B947" s="3" t="s">
        <v>31</v>
      </c>
      <c r="C947" s="3" t="s">
        <v>13</v>
      </c>
      <c r="D947" s="3">
        <v>2</v>
      </c>
      <c r="E947" s="4">
        <v>19664.91</v>
      </c>
      <c r="F947" s="4">
        <f t="shared" si="14"/>
        <v>39329.82</v>
      </c>
      <c r="G947" s="3" t="s">
        <v>14</v>
      </c>
      <c r="H947" s="5">
        <v>46053</v>
      </c>
      <c r="I947" s="3" t="str">
        <f>TEXT(Table1[[#This Row],[Date]],"mmm")</f>
        <v>Jan</v>
      </c>
    </row>
    <row r="948" spans="1:9" x14ac:dyDescent="0.3">
      <c r="A948" s="3" t="s">
        <v>982</v>
      </c>
      <c r="B948" s="3" t="s">
        <v>28</v>
      </c>
      <c r="C948" s="3" t="s">
        <v>9</v>
      </c>
      <c r="D948" s="3">
        <v>1</v>
      </c>
      <c r="E948" s="4">
        <v>4927.5200000000004</v>
      </c>
      <c r="F948" s="4">
        <f t="shared" si="14"/>
        <v>4927.5200000000004</v>
      </c>
      <c r="G948" s="3" t="s">
        <v>14</v>
      </c>
      <c r="H948" s="5">
        <v>46090</v>
      </c>
      <c r="I948" s="3" t="str">
        <f>TEXT(Table1[[#This Row],[Date]],"mmm")</f>
        <v>Mar</v>
      </c>
    </row>
    <row r="949" spans="1:9" x14ac:dyDescent="0.3">
      <c r="A949" s="3" t="s">
        <v>983</v>
      </c>
      <c r="B949" s="3" t="s">
        <v>72</v>
      </c>
      <c r="C949" s="3" t="s">
        <v>13</v>
      </c>
      <c r="D949" s="3">
        <v>2</v>
      </c>
      <c r="E949" s="4">
        <v>2236.9499999999998</v>
      </c>
      <c r="F949" s="4">
        <f t="shared" si="14"/>
        <v>4473.8999999999996</v>
      </c>
      <c r="G949" s="3" t="s">
        <v>10</v>
      </c>
      <c r="H949" s="5">
        <v>46024</v>
      </c>
      <c r="I949" s="3" t="str">
        <f>TEXT(Table1[[#This Row],[Date]],"mmm")</f>
        <v>Jan</v>
      </c>
    </row>
    <row r="950" spans="1:9" x14ac:dyDescent="0.3">
      <c r="A950" s="3" t="s">
        <v>984</v>
      </c>
      <c r="B950" s="3" t="s">
        <v>55</v>
      </c>
      <c r="C950" s="3" t="s">
        <v>25</v>
      </c>
      <c r="D950" s="3">
        <v>4</v>
      </c>
      <c r="E950" s="4">
        <v>2603.8000000000002</v>
      </c>
      <c r="F950" s="4">
        <f t="shared" si="14"/>
        <v>10415.200000000001</v>
      </c>
      <c r="G950" s="3" t="s">
        <v>26</v>
      </c>
      <c r="H950" s="5">
        <v>46033</v>
      </c>
      <c r="I950" s="3" t="str">
        <f>TEXT(Table1[[#This Row],[Date]],"mmm")</f>
        <v>Jan</v>
      </c>
    </row>
    <row r="951" spans="1:9" x14ac:dyDescent="0.3">
      <c r="A951" s="3" t="s">
        <v>985</v>
      </c>
      <c r="B951" s="3" t="s">
        <v>72</v>
      </c>
      <c r="C951" s="3" t="s">
        <v>13</v>
      </c>
      <c r="D951" s="3">
        <v>3</v>
      </c>
      <c r="E951" s="4">
        <v>2242.63</v>
      </c>
      <c r="F951" s="4">
        <f t="shared" si="14"/>
        <v>6727.89</v>
      </c>
      <c r="G951" s="3" t="s">
        <v>50</v>
      </c>
      <c r="H951" s="5">
        <v>46192</v>
      </c>
      <c r="I951" s="3" t="str">
        <f>TEXT(Table1[[#This Row],[Date]],"mmm")</f>
        <v>Jun</v>
      </c>
    </row>
    <row r="952" spans="1:9" x14ac:dyDescent="0.3">
      <c r="A952" s="3" t="s">
        <v>986</v>
      </c>
      <c r="B952" s="3" t="s">
        <v>24</v>
      </c>
      <c r="C952" s="3" t="s">
        <v>25</v>
      </c>
      <c r="D952" s="3">
        <v>4</v>
      </c>
      <c r="E952" s="4">
        <v>845.33</v>
      </c>
      <c r="F952" s="4">
        <f t="shared" si="14"/>
        <v>3381.32</v>
      </c>
      <c r="G952" s="3" t="s">
        <v>14</v>
      </c>
      <c r="H952" s="5">
        <v>46114</v>
      </c>
      <c r="I952" s="3" t="str">
        <f>TEXT(Table1[[#This Row],[Date]],"mmm")</f>
        <v>Apr</v>
      </c>
    </row>
    <row r="953" spans="1:9" x14ac:dyDescent="0.3">
      <c r="A953" s="3" t="s">
        <v>987</v>
      </c>
      <c r="B953" s="3" t="s">
        <v>31</v>
      </c>
      <c r="C953" s="3" t="s">
        <v>13</v>
      </c>
      <c r="D953" s="3">
        <v>3</v>
      </c>
      <c r="E953" s="4">
        <v>18091.419999999998</v>
      </c>
      <c r="F953" s="4">
        <f t="shared" si="14"/>
        <v>54274.259999999995</v>
      </c>
      <c r="G953" s="3" t="s">
        <v>26</v>
      </c>
      <c r="H953" s="5">
        <v>46156</v>
      </c>
      <c r="I953" s="3" t="str">
        <f>TEXT(Table1[[#This Row],[Date]],"mmm")</f>
        <v>May</v>
      </c>
    </row>
    <row r="954" spans="1:9" x14ac:dyDescent="0.3">
      <c r="A954" s="3" t="s">
        <v>988</v>
      </c>
      <c r="B954" s="3" t="s">
        <v>31</v>
      </c>
      <c r="C954" s="3" t="s">
        <v>13</v>
      </c>
      <c r="D954" s="3">
        <v>5</v>
      </c>
      <c r="E954" s="4">
        <v>16773.73</v>
      </c>
      <c r="F954" s="4">
        <f t="shared" si="14"/>
        <v>83868.649999999994</v>
      </c>
      <c r="G954" s="3" t="s">
        <v>14</v>
      </c>
      <c r="H954" s="5">
        <v>46160</v>
      </c>
      <c r="I954" s="3" t="str">
        <f>TEXT(Table1[[#This Row],[Date]],"mmm")</f>
        <v>May</v>
      </c>
    </row>
    <row r="955" spans="1:9" x14ac:dyDescent="0.3">
      <c r="A955" s="3" t="s">
        <v>989</v>
      </c>
      <c r="B955" s="3" t="s">
        <v>28</v>
      </c>
      <c r="C955" s="3" t="s">
        <v>9</v>
      </c>
      <c r="D955" s="3">
        <v>1</v>
      </c>
      <c r="E955" s="4">
        <v>4848.43</v>
      </c>
      <c r="F955" s="4">
        <f t="shared" si="14"/>
        <v>4848.43</v>
      </c>
      <c r="G955" s="3" t="s">
        <v>29</v>
      </c>
      <c r="H955" s="5">
        <v>46192</v>
      </c>
      <c r="I955" s="3" t="str">
        <f>TEXT(Table1[[#This Row],[Date]],"mmm")</f>
        <v>Jun</v>
      </c>
    </row>
    <row r="956" spans="1:9" x14ac:dyDescent="0.3">
      <c r="A956" s="3" t="s">
        <v>990</v>
      </c>
      <c r="B956" s="3" t="s">
        <v>55</v>
      </c>
      <c r="C956" s="3" t="s">
        <v>25</v>
      </c>
      <c r="D956" s="3">
        <v>3</v>
      </c>
      <c r="E956" s="4">
        <v>2429.4299999999998</v>
      </c>
      <c r="F956" s="4">
        <f t="shared" si="14"/>
        <v>7288.2899999999991</v>
      </c>
      <c r="G956" s="3" t="s">
        <v>29</v>
      </c>
      <c r="H956" s="5">
        <v>46181</v>
      </c>
      <c r="I956" s="3" t="str">
        <f>TEXT(Table1[[#This Row],[Date]],"mmm")</f>
        <v>Jun</v>
      </c>
    </row>
    <row r="957" spans="1:9" x14ac:dyDescent="0.3">
      <c r="A957" s="3" t="s">
        <v>991</v>
      </c>
      <c r="B957" s="3" t="s">
        <v>80</v>
      </c>
      <c r="C957" s="3" t="s">
        <v>39</v>
      </c>
      <c r="D957" s="3">
        <v>4</v>
      </c>
      <c r="E957" s="4">
        <v>4617.17</v>
      </c>
      <c r="F957" s="4">
        <f t="shared" si="14"/>
        <v>18468.68</v>
      </c>
      <c r="G957" s="3" t="s">
        <v>46</v>
      </c>
      <c r="H957" s="5">
        <v>46052</v>
      </c>
      <c r="I957" s="3" t="str">
        <f>TEXT(Table1[[#This Row],[Date]],"mmm")</f>
        <v>Jan</v>
      </c>
    </row>
    <row r="958" spans="1:9" x14ac:dyDescent="0.3">
      <c r="A958" s="3" t="s">
        <v>992</v>
      </c>
      <c r="B958" s="3" t="s">
        <v>8</v>
      </c>
      <c r="C958" s="3" t="s">
        <v>9</v>
      </c>
      <c r="D958" s="3">
        <v>3</v>
      </c>
      <c r="E958" s="4">
        <v>1780.44</v>
      </c>
      <c r="F958" s="4">
        <f t="shared" si="14"/>
        <v>5341.32</v>
      </c>
      <c r="G958" s="3" t="s">
        <v>50</v>
      </c>
      <c r="H958" s="5">
        <v>46182</v>
      </c>
      <c r="I958" s="3" t="str">
        <f>TEXT(Table1[[#This Row],[Date]],"mmm")</f>
        <v>Jun</v>
      </c>
    </row>
    <row r="959" spans="1:9" x14ac:dyDescent="0.3">
      <c r="A959" s="3" t="s">
        <v>993</v>
      </c>
      <c r="B959" s="3" t="s">
        <v>12</v>
      </c>
      <c r="C959" s="3" t="s">
        <v>13</v>
      </c>
      <c r="D959" s="3">
        <v>1</v>
      </c>
      <c r="E959" s="4">
        <v>1554.77</v>
      </c>
      <c r="F959" s="4">
        <f t="shared" si="14"/>
        <v>1554.77</v>
      </c>
      <c r="G959" s="3" t="s">
        <v>32</v>
      </c>
      <c r="H959" s="5">
        <v>46120</v>
      </c>
      <c r="I959" s="3" t="str">
        <f>TEXT(Table1[[#This Row],[Date]],"mmm")</f>
        <v>Apr</v>
      </c>
    </row>
    <row r="960" spans="1:9" x14ac:dyDescent="0.3">
      <c r="A960" s="3" t="s">
        <v>994</v>
      </c>
      <c r="B960" s="3" t="s">
        <v>62</v>
      </c>
      <c r="C960" s="3" t="s">
        <v>25</v>
      </c>
      <c r="D960" s="3">
        <v>1</v>
      </c>
      <c r="E960" s="4">
        <v>1953.37</v>
      </c>
      <c r="F960" s="4">
        <f t="shared" si="14"/>
        <v>1953.37</v>
      </c>
      <c r="G960" s="3" t="s">
        <v>14</v>
      </c>
      <c r="H960" s="5">
        <v>46095</v>
      </c>
      <c r="I960" s="3" t="str">
        <f>TEXT(Table1[[#This Row],[Date]],"mmm")</f>
        <v>Mar</v>
      </c>
    </row>
    <row r="961" spans="1:9" x14ac:dyDescent="0.3">
      <c r="A961" s="3" t="s">
        <v>995</v>
      </c>
      <c r="B961" s="3" t="s">
        <v>91</v>
      </c>
      <c r="C961" s="3" t="s">
        <v>13</v>
      </c>
      <c r="D961" s="3">
        <v>5</v>
      </c>
      <c r="E961" s="4">
        <v>58543.199999999997</v>
      </c>
      <c r="F961" s="4">
        <f t="shared" si="14"/>
        <v>292716</v>
      </c>
      <c r="G961" s="3" t="s">
        <v>32</v>
      </c>
      <c r="H961" s="5">
        <v>46154</v>
      </c>
      <c r="I961" s="3" t="str">
        <f>TEXT(Table1[[#This Row],[Date]],"mmm")</f>
        <v>May</v>
      </c>
    </row>
    <row r="962" spans="1:9" x14ac:dyDescent="0.3">
      <c r="A962" s="3" t="s">
        <v>996</v>
      </c>
      <c r="B962" s="3" t="s">
        <v>62</v>
      </c>
      <c r="C962" s="3" t="s">
        <v>25</v>
      </c>
      <c r="D962" s="3">
        <v>5</v>
      </c>
      <c r="E962" s="4">
        <v>1977.23</v>
      </c>
      <c r="F962" s="4">
        <f t="shared" si="14"/>
        <v>9886.15</v>
      </c>
      <c r="G962" s="3" t="s">
        <v>46</v>
      </c>
      <c r="H962" s="5">
        <v>46098</v>
      </c>
      <c r="I962" s="3" t="str">
        <f>TEXT(Table1[[#This Row],[Date]],"mmm")</f>
        <v>Mar</v>
      </c>
    </row>
    <row r="963" spans="1:9" x14ac:dyDescent="0.3">
      <c r="A963" s="3" t="s">
        <v>997</v>
      </c>
      <c r="B963" s="3" t="s">
        <v>8</v>
      </c>
      <c r="C963" s="3" t="s">
        <v>9</v>
      </c>
      <c r="D963" s="3">
        <v>2</v>
      </c>
      <c r="E963" s="4">
        <v>1735.31</v>
      </c>
      <c r="F963" s="4">
        <f t="shared" ref="F963:F1001" si="15">D963*E963</f>
        <v>3470.62</v>
      </c>
      <c r="G963" s="3" t="s">
        <v>18</v>
      </c>
      <c r="H963" s="5">
        <v>46047</v>
      </c>
      <c r="I963" s="3" t="str">
        <f>TEXT(Table1[[#This Row],[Date]],"mmm")</f>
        <v>Jan</v>
      </c>
    </row>
    <row r="964" spans="1:9" x14ac:dyDescent="0.3">
      <c r="A964" s="3" t="s">
        <v>998</v>
      </c>
      <c r="B964" s="3" t="s">
        <v>72</v>
      </c>
      <c r="C964" s="3" t="s">
        <v>13</v>
      </c>
      <c r="D964" s="3">
        <v>5</v>
      </c>
      <c r="E964" s="4">
        <v>2214.61</v>
      </c>
      <c r="F964" s="4">
        <f t="shared" si="15"/>
        <v>11073.050000000001</v>
      </c>
      <c r="G964" s="3" t="s">
        <v>18</v>
      </c>
      <c r="H964" s="5">
        <v>46076</v>
      </c>
      <c r="I964" s="3" t="str">
        <f>TEXT(Table1[[#This Row],[Date]],"mmm")</f>
        <v>Feb</v>
      </c>
    </row>
    <row r="965" spans="1:9" x14ac:dyDescent="0.3">
      <c r="A965" s="3" t="s">
        <v>999</v>
      </c>
      <c r="B965" s="3" t="s">
        <v>8</v>
      </c>
      <c r="C965" s="3" t="s">
        <v>9</v>
      </c>
      <c r="D965" s="3">
        <v>2</v>
      </c>
      <c r="E965" s="4">
        <v>1931.38</v>
      </c>
      <c r="F965" s="4">
        <f t="shared" si="15"/>
        <v>3862.76</v>
      </c>
      <c r="G965" s="3" t="s">
        <v>48</v>
      </c>
      <c r="H965" s="5">
        <v>46049</v>
      </c>
      <c r="I965" s="3" t="str">
        <f>TEXT(Table1[[#This Row],[Date]],"mmm")</f>
        <v>Jan</v>
      </c>
    </row>
    <row r="966" spans="1:9" x14ac:dyDescent="0.3">
      <c r="A966" s="3" t="s">
        <v>1000</v>
      </c>
      <c r="B966" s="3" t="s">
        <v>12</v>
      </c>
      <c r="C966" s="3" t="s">
        <v>13</v>
      </c>
      <c r="D966" s="3">
        <v>5</v>
      </c>
      <c r="E966" s="4">
        <v>1598.62</v>
      </c>
      <c r="F966" s="4">
        <f t="shared" si="15"/>
        <v>7993.0999999999995</v>
      </c>
      <c r="G966" s="3" t="s">
        <v>48</v>
      </c>
      <c r="H966" s="5">
        <v>46188</v>
      </c>
      <c r="I966" s="3" t="str">
        <f>TEXT(Table1[[#This Row],[Date]],"mmm")</f>
        <v>Jun</v>
      </c>
    </row>
    <row r="967" spans="1:9" x14ac:dyDescent="0.3">
      <c r="A967" s="3" t="s">
        <v>1001</v>
      </c>
      <c r="B967" s="3" t="s">
        <v>38</v>
      </c>
      <c r="C967" s="3" t="s">
        <v>39</v>
      </c>
      <c r="D967" s="3">
        <v>1</v>
      </c>
      <c r="E967" s="4">
        <v>6820.96</v>
      </c>
      <c r="F967" s="4">
        <f t="shared" si="15"/>
        <v>6820.96</v>
      </c>
      <c r="G967" s="3" t="s">
        <v>26</v>
      </c>
      <c r="H967" s="5">
        <v>46029</v>
      </c>
      <c r="I967" s="3" t="str">
        <f>TEXT(Table1[[#This Row],[Date]],"mmm")</f>
        <v>Jan</v>
      </c>
    </row>
    <row r="968" spans="1:9" x14ac:dyDescent="0.3">
      <c r="A968" s="3" t="s">
        <v>1002</v>
      </c>
      <c r="B968" s="3" t="s">
        <v>44</v>
      </c>
      <c r="C968" s="3" t="s">
        <v>39</v>
      </c>
      <c r="D968" s="3">
        <v>3</v>
      </c>
      <c r="E968" s="4">
        <v>3176.52</v>
      </c>
      <c r="F968" s="4">
        <f t="shared" si="15"/>
        <v>9529.56</v>
      </c>
      <c r="G968" s="3" t="s">
        <v>18</v>
      </c>
      <c r="H968" s="5">
        <v>46036</v>
      </c>
      <c r="I968" s="3" t="str">
        <f>TEXT(Table1[[#This Row],[Date]],"mmm")</f>
        <v>Jan</v>
      </c>
    </row>
    <row r="969" spans="1:9" x14ac:dyDescent="0.3">
      <c r="A969" s="3" t="s">
        <v>1003</v>
      </c>
      <c r="B969" s="3" t="s">
        <v>72</v>
      </c>
      <c r="C969" s="3" t="s">
        <v>13</v>
      </c>
      <c r="D969" s="3">
        <v>3</v>
      </c>
      <c r="E969" s="4">
        <v>2225.56</v>
      </c>
      <c r="F969" s="4">
        <f t="shared" si="15"/>
        <v>6676.68</v>
      </c>
      <c r="G969" s="3" t="s">
        <v>50</v>
      </c>
      <c r="H969" s="5">
        <v>46081</v>
      </c>
      <c r="I969" s="3" t="str">
        <f>TEXT(Table1[[#This Row],[Date]],"mmm")</f>
        <v>Feb</v>
      </c>
    </row>
    <row r="970" spans="1:9" x14ac:dyDescent="0.3">
      <c r="A970" s="3" t="s">
        <v>1004</v>
      </c>
      <c r="B970" s="3" t="s">
        <v>24</v>
      </c>
      <c r="C970" s="3" t="s">
        <v>25</v>
      </c>
      <c r="D970" s="3">
        <v>4</v>
      </c>
      <c r="E970" s="4">
        <v>781.11</v>
      </c>
      <c r="F970" s="4">
        <f t="shared" si="15"/>
        <v>3124.44</v>
      </c>
      <c r="G970" s="3" t="s">
        <v>48</v>
      </c>
      <c r="H970" s="5">
        <v>46133</v>
      </c>
      <c r="I970" s="3" t="str">
        <f>TEXT(Table1[[#This Row],[Date]],"mmm")</f>
        <v>Apr</v>
      </c>
    </row>
    <row r="971" spans="1:9" x14ac:dyDescent="0.3">
      <c r="A971" s="3" t="s">
        <v>1005</v>
      </c>
      <c r="B971" s="3" t="s">
        <v>55</v>
      </c>
      <c r="C971" s="3" t="s">
        <v>25</v>
      </c>
      <c r="D971" s="3">
        <v>1</v>
      </c>
      <c r="E971" s="4">
        <v>2443.77</v>
      </c>
      <c r="F971" s="4">
        <f t="shared" si="15"/>
        <v>2443.77</v>
      </c>
      <c r="G971" s="3" t="s">
        <v>18</v>
      </c>
      <c r="H971" s="5">
        <v>46159</v>
      </c>
      <c r="I971" s="3" t="str">
        <f>TEXT(Table1[[#This Row],[Date]],"mmm")</f>
        <v>May</v>
      </c>
    </row>
    <row r="972" spans="1:9" x14ac:dyDescent="0.3">
      <c r="A972" s="3" t="s">
        <v>1006</v>
      </c>
      <c r="B972" s="3" t="s">
        <v>91</v>
      </c>
      <c r="C972" s="3" t="s">
        <v>13</v>
      </c>
      <c r="D972" s="3">
        <v>5</v>
      </c>
      <c r="E972" s="4">
        <v>50195.61</v>
      </c>
      <c r="F972" s="4">
        <f t="shared" si="15"/>
        <v>250978.05</v>
      </c>
      <c r="G972" s="3" t="s">
        <v>50</v>
      </c>
      <c r="H972" s="5">
        <v>46034</v>
      </c>
      <c r="I972" s="3" t="str">
        <f>TEXT(Table1[[#This Row],[Date]],"mmm")</f>
        <v>Jan</v>
      </c>
    </row>
    <row r="973" spans="1:9" x14ac:dyDescent="0.3">
      <c r="A973" s="3" t="s">
        <v>1007</v>
      </c>
      <c r="B973" s="3" t="s">
        <v>21</v>
      </c>
      <c r="C973" s="3" t="s">
        <v>13</v>
      </c>
      <c r="D973" s="3">
        <v>1</v>
      </c>
      <c r="E973" s="4">
        <v>27203.119999999999</v>
      </c>
      <c r="F973" s="4">
        <f t="shared" si="15"/>
        <v>27203.119999999999</v>
      </c>
      <c r="G973" s="3" t="s">
        <v>14</v>
      </c>
      <c r="H973" s="5">
        <v>46050</v>
      </c>
      <c r="I973" s="3" t="str">
        <f>TEXT(Table1[[#This Row],[Date]],"mmm")</f>
        <v>Jan</v>
      </c>
    </row>
    <row r="974" spans="1:9" x14ac:dyDescent="0.3">
      <c r="A974" s="3" t="s">
        <v>1008</v>
      </c>
      <c r="B974" s="3" t="s">
        <v>24</v>
      </c>
      <c r="C974" s="3" t="s">
        <v>25</v>
      </c>
      <c r="D974" s="3">
        <v>3</v>
      </c>
      <c r="E974" s="4">
        <v>816.03</v>
      </c>
      <c r="F974" s="4">
        <f t="shared" si="15"/>
        <v>2448.09</v>
      </c>
      <c r="G974" s="3" t="s">
        <v>10</v>
      </c>
      <c r="H974" s="5">
        <v>46135</v>
      </c>
      <c r="I974" s="3" t="str">
        <f>TEXT(Table1[[#This Row],[Date]],"mmm")</f>
        <v>Apr</v>
      </c>
    </row>
    <row r="975" spans="1:9" x14ac:dyDescent="0.3">
      <c r="A975" s="3" t="s">
        <v>1009</v>
      </c>
      <c r="B975" s="3" t="s">
        <v>28</v>
      </c>
      <c r="C975" s="3" t="s">
        <v>9</v>
      </c>
      <c r="D975" s="3">
        <v>4</v>
      </c>
      <c r="E975" s="4">
        <v>5321.06</v>
      </c>
      <c r="F975" s="4">
        <f t="shared" si="15"/>
        <v>21284.240000000002</v>
      </c>
      <c r="G975" s="3" t="s">
        <v>46</v>
      </c>
      <c r="H975" s="5">
        <v>46144</v>
      </c>
      <c r="I975" s="3" t="str">
        <f>TEXT(Table1[[#This Row],[Date]],"mmm")</f>
        <v>May</v>
      </c>
    </row>
    <row r="976" spans="1:9" x14ac:dyDescent="0.3">
      <c r="A976" s="3" t="s">
        <v>1010</v>
      </c>
      <c r="B976" s="3" t="s">
        <v>72</v>
      </c>
      <c r="C976" s="3" t="s">
        <v>13</v>
      </c>
      <c r="D976" s="3">
        <v>5</v>
      </c>
      <c r="E976" s="4">
        <v>2076.7399999999998</v>
      </c>
      <c r="F976" s="4">
        <f t="shared" si="15"/>
        <v>10383.699999999999</v>
      </c>
      <c r="G976" s="3" t="s">
        <v>48</v>
      </c>
      <c r="H976" s="5">
        <v>46162</v>
      </c>
      <c r="I976" s="3" t="str">
        <f>TEXT(Table1[[#This Row],[Date]],"mmm")</f>
        <v>May</v>
      </c>
    </row>
    <row r="977" spans="1:9" x14ac:dyDescent="0.3">
      <c r="A977" s="3" t="s">
        <v>1011</v>
      </c>
      <c r="B977" s="3" t="s">
        <v>24</v>
      </c>
      <c r="C977" s="3" t="s">
        <v>25</v>
      </c>
      <c r="D977" s="3">
        <v>2</v>
      </c>
      <c r="E977" s="4">
        <v>766.73</v>
      </c>
      <c r="F977" s="4">
        <f t="shared" si="15"/>
        <v>1533.46</v>
      </c>
      <c r="G977" s="3" t="s">
        <v>32</v>
      </c>
      <c r="H977" s="5">
        <v>46025</v>
      </c>
      <c r="I977" s="3" t="str">
        <f>TEXT(Table1[[#This Row],[Date]],"mmm")</f>
        <v>Jan</v>
      </c>
    </row>
    <row r="978" spans="1:9" x14ac:dyDescent="0.3">
      <c r="A978" s="3" t="s">
        <v>1012</v>
      </c>
      <c r="B978" s="3" t="s">
        <v>80</v>
      </c>
      <c r="C978" s="3" t="s">
        <v>39</v>
      </c>
      <c r="D978" s="3">
        <v>5</v>
      </c>
      <c r="E978" s="4">
        <v>3898.75</v>
      </c>
      <c r="F978" s="4">
        <f t="shared" si="15"/>
        <v>19493.75</v>
      </c>
      <c r="G978" s="3" t="s">
        <v>46</v>
      </c>
      <c r="H978" s="5">
        <v>46024</v>
      </c>
      <c r="I978" s="3" t="str">
        <f>TEXT(Table1[[#This Row],[Date]],"mmm")</f>
        <v>Jan</v>
      </c>
    </row>
    <row r="979" spans="1:9" x14ac:dyDescent="0.3">
      <c r="A979" s="3" t="s">
        <v>1013</v>
      </c>
      <c r="B979" s="3" t="s">
        <v>16</v>
      </c>
      <c r="C979" s="3" t="s">
        <v>17</v>
      </c>
      <c r="D979" s="3">
        <v>5</v>
      </c>
      <c r="E979" s="4">
        <v>440.47</v>
      </c>
      <c r="F979" s="4">
        <f t="shared" si="15"/>
        <v>2202.3500000000004</v>
      </c>
      <c r="G979" s="3" t="s">
        <v>14</v>
      </c>
      <c r="H979" s="5">
        <v>46044</v>
      </c>
      <c r="I979" s="3" t="str">
        <f>TEXT(Table1[[#This Row],[Date]],"mmm")</f>
        <v>Jan</v>
      </c>
    </row>
    <row r="980" spans="1:9" x14ac:dyDescent="0.3">
      <c r="A980" s="3" t="s">
        <v>1014</v>
      </c>
      <c r="B980" s="3" t="s">
        <v>24</v>
      </c>
      <c r="C980" s="3" t="s">
        <v>25</v>
      </c>
      <c r="D980" s="3">
        <v>2</v>
      </c>
      <c r="E980" s="4">
        <v>838.68</v>
      </c>
      <c r="F980" s="4">
        <f t="shared" si="15"/>
        <v>1677.36</v>
      </c>
      <c r="G980" s="3" t="s">
        <v>32</v>
      </c>
      <c r="H980" s="5">
        <v>46077</v>
      </c>
      <c r="I980" s="3" t="str">
        <f>TEXT(Table1[[#This Row],[Date]],"mmm")</f>
        <v>Feb</v>
      </c>
    </row>
    <row r="981" spans="1:9" x14ac:dyDescent="0.3">
      <c r="A981" s="3" t="s">
        <v>1015</v>
      </c>
      <c r="B981" s="3" t="s">
        <v>28</v>
      </c>
      <c r="C981" s="3" t="s">
        <v>9</v>
      </c>
      <c r="D981" s="3">
        <v>5</v>
      </c>
      <c r="E981" s="4">
        <v>4641.53</v>
      </c>
      <c r="F981" s="4">
        <f t="shared" si="15"/>
        <v>23207.649999999998</v>
      </c>
      <c r="G981" s="3" t="s">
        <v>26</v>
      </c>
      <c r="H981" s="5">
        <v>46079</v>
      </c>
      <c r="I981" s="3" t="str">
        <f>TEXT(Table1[[#This Row],[Date]],"mmm")</f>
        <v>Feb</v>
      </c>
    </row>
    <row r="982" spans="1:9" x14ac:dyDescent="0.3">
      <c r="A982" s="3" t="s">
        <v>1016</v>
      </c>
      <c r="B982" s="3" t="s">
        <v>16</v>
      </c>
      <c r="C982" s="3" t="s">
        <v>17</v>
      </c>
      <c r="D982" s="3">
        <v>3</v>
      </c>
      <c r="E982" s="4">
        <v>422.49</v>
      </c>
      <c r="F982" s="4">
        <f t="shared" si="15"/>
        <v>1267.47</v>
      </c>
      <c r="G982" s="3" t="s">
        <v>26</v>
      </c>
      <c r="H982" s="5">
        <v>46194</v>
      </c>
      <c r="I982" s="3" t="str">
        <f>TEXT(Table1[[#This Row],[Date]],"mmm")</f>
        <v>Jun</v>
      </c>
    </row>
    <row r="983" spans="1:9" x14ac:dyDescent="0.3">
      <c r="A983" s="3" t="s">
        <v>1017</v>
      </c>
      <c r="B983" s="3" t="s">
        <v>62</v>
      </c>
      <c r="C983" s="3" t="s">
        <v>25</v>
      </c>
      <c r="D983" s="3">
        <v>5</v>
      </c>
      <c r="E983" s="4">
        <v>2139.83</v>
      </c>
      <c r="F983" s="4">
        <f t="shared" si="15"/>
        <v>10699.15</v>
      </c>
      <c r="G983" s="3" t="s">
        <v>14</v>
      </c>
      <c r="H983" s="5">
        <v>46141</v>
      </c>
      <c r="I983" s="3" t="str">
        <f>TEXT(Table1[[#This Row],[Date]],"mmm")</f>
        <v>Apr</v>
      </c>
    </row>
    <row r="984" spans="1:9" x14ac:dyDescent="0.3">
      <c r="A984" s="3" t="s">
        <v>1018</v>
      </c>
      <c r="B984" s="3" t="s">
        <v>8</v>
      </c>
      <c r="C984" s="3" t="s">
        <v>9</v>
      </c>
      <c r="D984" s="3">
        <v>5</v>
      </c>
      <c r="E984" s="4">
        <v>1646.33</v>
      </c>
      <c r="F984" s="4">
        <f t="shared" si="15"/>
        <v>8231.65</v>
      </c>
      <c r="G984" s="3" t="s">
        <v>18</v>
      </c>
      <c r="H984" s="5">
        <v>46087</v>
      </c>
      <c r="I984" s="3" t="str">
        <f>TEXT(Table1[[#This Row],[Date]],"mmm")</f>
        <v>Mar</v>
      </c>
    </row>
    <row r="985" spans="1:9" x14ac:dyDescent="0.3">
      <c r="A985" s="3" t="s">
        <v>1019</v>
      </c>
      <c r="B985" s="3" t="s">
        <v>31</v>
      </c>
      <c r="C985" s="3" t="s">
        <v>13</v>
      </c>
      <c r="D985" s="3">
        <v>2</v>
      </c>
      <c r="E985" s="4">
        <v>18812.12</v>
      </c>
      <c r="F985" s="4">
        <f t="shared" si="15"/>
        <v>37624.239999999998</v>
      </c>
      <c r="G985" s="3" t="s">
        <v>22</v>
      </c>
      <c r="H985" s="5">
        <v>46107</v>
      </c>
      <c r="I985" s="3" t="str">
        <f>TEXT(Table1[[#This Row],[Date]],"mmm")</f>
        <v>Mar</v>
      </c>
    </row>
    <row r="986" spans="1:9" x14ac:dyDescent="0.3">
      <c r="A986" s="3" t="s">
        <v>1020</v>
      </c>
      <c r="B986" s="3" t="s">
        <v>55</v>
      </c>
      <c r="C986" s="3" t="s">
        <v>25</v>
      </c>
      <c r="D986" s="3">
        <v>2</v>
      </c>
      <c r="E986" s="4">
        <v>2584.61</v>
      </c>
      <c r="F986" s="4">
        <f t="shared" si="15"/>
        <v>5169.22</v>
      </c>
      <c r="G986" s="3" t="s">
        <v>29</v>
      </c>
      <c r="H986" s="5">
        <v>46048</v>
      </c>
      <c r="I986" s="3" t="str">
        <f>TEXT(Table1[[#This Row],[Date]],"mmm")</f>
        <v>Jan</v>
      </c>
    </row>
    <row r="987" spans="1:9" x14ac:dyDescent="0.3">
      <c r="A987" s="3" t="s">
        <v>1021</v>
      </c>
      <c r="B987" s="3" t="s">
        <v>24</v>
      </c>
      <c r="C987" s="3" t="s">
        <v>25</v>
      </c>
      <c r="D987" s="3">
        <v>5</v>
      </c>
      <c r="E987" s="4">
        <v>730.26</v>
      </c>
      <c r="F987" s="4">
        <f t="shared" si="15"/>
        <v>3651.3</v>
      </c>
      <c r="G987" s="3" t="s">
        <v>29</v>
      </c>
      <c r="H987" s="5">
        <v>46104</v>
      </c>
      <c r="I987" s="3" t="str">
        <f>TEXT(Table1[[#This Row],[Date]],"mmm")</f>
        <v>Mar</v>
      </c>
    </row>
    <row r="988" spans="1:9" x14ac:dyDescent="0.3">
      <c r="A988" s="3" t="s">
        <v>1022</v>
      </c>
      <c r="B988" s="3" t="s">
        <v>44</v>
      </c>
      <c r="C988" s="3" t="s">
        <v>39</v>
      </c>
      <c r="D988" s="3">
        <v>4</v>
      </c>
      <c r="E988" s="4">
        <v>3379.84</v>
      </c>
      <c r="F988" s="4">
        <f t="shared" si="15"/>
        <v>13519.36</v>
      </c>
      <c r="G988" s="3" t="s">
        <v>10</v>
      </c>
      <c r="H988" s="5">
        <v>46200</v>
      </c>
      <c r="I988" s="3" t="str">
        <f>TEXT(Table1[[#This Row],[Date]],"mmm")</f>
        <v>Jun</v>
      </c>
    </row>
    <row r="989" spans="1:9" x14ac:dyDescent="0.3">
      <c r="A989" s="3" t="s">
        <v>1023</v>
      </c>
      <c r="B989" s="3" t="s">
        <v>16</v>
      </c>
      <c r="C989" s="3" t="s">
        <v>17</v>
      </c>
      <c r="D989" s="3">
        <v>2</v>
      </c>
      <c r="E989" s="4">
        <v>455.9</v>
      </c>
      <c r="F989" s="4">
        <f t="shared" si="15"/>
        <v>911.8</v>
      </c>
      <c r="G989" s="3" t="s">
        <v>32</v>
      </c>
      <c r="H989" s="5">
        <v>46103</v>
      </c>
      <c r="I989" s="3" t="str">
        <f>TEXT(Table1[[#This Row],[Date]],"mmm")</f>
        <v>Mar</v>
      </c>
    </row>
    <row r="990" spans="1:9" x14ac:dyDescent="0.3">
      <c r="A990" s="3" t="s">
        <v>1024</v>
      </c>
      <c r="B990" s="3" t="s">
        <v>28</v>
      </c>
      <c r="C990" s="3" t="s">
        <v>9</v>
      </c>
      <c r="D990" s="3">
        <v>2</v>
      </c>
      <c r="E990" s="4">
        <v>4503.93</v>
      </c>
      <c r="F990" s="4">
        <f t="shared" si="15"/>
        <v>9007.86</v>
      </c>
      <c r="G990" s="3" t="s">
        <v>29</v>
      </c>
      <c r="H990" s="5">
        <v>46079</v>
      </c>
      <c r="I990" s="3" t="str">
        <f>TEXT(Table1[[#This Row],[Date]],"mmm")</f>
        <v>Feb</v>
      </c>
    </row>
    <row r="991" spans="1:9" x14ac:dyDescent="0.3">
      <c r="A991" s="3" t="s">
        <v>1025</v>
      </c>
      <c r="B991" s="3" t="s">
        <v>21</v>
      </c>
      <c r="C991" s="3" t="s">
        <v>13</v>
      </c>
      <c r="D991" s="3">
        <v>4</v>
      </c>
      <c r="E991" s="4">
        <v>26749.41</v>
      </c>
      <c r="F991" s="4">
        <f t="shared" si="15"/>
        <v>106997.64</v>
      </c>
      <c r="G991" s="3" t="s">
        <v>32</v>
      </c>
      <c r="H991" s="5">
        <v>46057</v>
      </c>
      <c r="I991" s="3" t="str">
        <f>TEXT(Table1[[#This Row],[Date]],"mmm")</f>
        <v>Feb</v>
      </c>
    </row>
    <row r="992" spans="1:9" x14ac:dyDescent="0.3">
      <c r="A992" s="3" t="s">
        <v>1026</v>
      </c>
      <c r="B992" s="3" t="s">
        <v>8</v>
      </c>
      <c r="C992" s="3" t="s">
        <v>9</v>
      </c>
      <c r="D992" s="3">
        <v>3</v>
      </c>
      <c r="E992" s="4">
        <v>1936.04</v>
      </c>
      <c r="F992" s="4">
        <f t="shared" si="15"/>
        <v>5808.12</v>
      </c>
      <c r="G992" s="3" t="s">
        <v>22</v>
      </c>
      <c r="H992" s="5">
        <v>46137</v>
      </c>
      <c r="I992" s="3" t="str">
        <f>TEXT(Table1[[#This Row],[Date]],"mmm")</f>
        <v>Apr</v>
      </c>
    </row>
    <row r="993" spans="1:9" x14ac:dyDescent="0.3">
      <c r="A993" s="3" t="s">
        <v>1027</v>
      </c>
      <c r="B993" s="3" t="s">
        <v>55</v>
      </c>
      <c r="C993" s="3" t="s">
        <v>25</v>
      </c>
      <c r="D993" s="3">
        <v>3</v>
      </c>
      <c r="E993" s="4">
        <v>2492.4899999999998</v>
      </c>
      <c r="F993" s="4">
        <f t="shared" si="15"/>
        <v>7477.4699999999993</v>
      </c>
      <c r="G993" s="3" t="s">
        <v>18</v>
      </c>
      <c r="H993" s="5">
        <v>46067</v>
      </c>
      <c r="I993" s="3" t="str">
        <f>TEXT(Table1[[#This Row],[Date]],"mmm")</f>
        <v>Feb</v>
      </c>
    </row>
    <row r="994" spans="1:9" x14ac:dyDescent="0.3">
      <c r="A994" s="3" t="s">
        <v>1028</v>
      </c>
      <c r="B994" s="3" t="s">
        <v>8</v>
      </c>
      <c r="C994" s="3" t="s">
        <v>9</v>
      </c>
      <c r="D994" s="3">
        <v>5</v>
      </c>
      <c r="E994" s="4">
        <v>1649.51</v>
      </c>
      <c r="F994" s="4">
        <f t="shared" si="15"/>
        <v>8247.5499999999993</v>
      </c>
      <c r="G994" s="3" t="s">
        <v>10</v>
      </c>
      <c r="H994" s="5">
        <v>46058</v>
      </c>
      <c r="I994" s="3" t="str">
        <f>TEXT(Table1[[#This Row],[Date]],"mmm")</f>
        <v>Feb</v>
      </c>
    </row>
    <row r="995" spans="1:9" x14ac:dyDescent="0.3">
      <c r="A995" s="3" t="s">
        <v>1029</v>
      </c>
      <c r="B995" s="3" t="s">
        <v>80</v>
      </c>
      <c r="C995" s="3" t="s">
        <v>39</v>
      </c>
      <c r="D995" s="3">
        <v>2</v>
      </c>
      <c r="E995" s="4">
        <v>4001.12</v>
      </c>
      <c r="F995" s="4">
        <f t="shared" si="15"/>
        <v>8002.24</v>
      </c>
      <c r="G995" s="3" t="s">
        <v>18</v>
      </c>
      <c r="H995" s="5">
        <v>46042</v>
      </c>
      <c r="I995" s="3" t="str">
        <f>TEXT(Table1[[#This Row],[Date]],"mmm")</f>
        <v>Jan</v>
      </c>
    </row>
    <row r="996" spans="1:9" x14ac:dyDescent="0.3">
      <c r="A996" s="3" t="s">
        <v>1030</v>
      </c>
      <c r="B996" s="3" t="s">
        <v>91</v>
      </c>
      <c r="C996" s="3" t="s">
        <v>13</v>
      </c>
      <c r="D996" s="3">
        <v>5</v>
      </c>
      <c r="E996" s="4">
        <v>56447.89</v>
      </c>
      <c r="F996" s="4">
        <f t="shared" si="15"/>
        <v>282239.45</v>
      </c>
      <c r="G996" s="3" t="s">
        <v>50</v>
      </c>
      <c r="H996" s="5">
        <v>46171</v>
      </c>
      <c r="I996" s="3" t="str">
        <f>TEXT(Table1[[#This Row],[Date]],"mmm")</f>
        <v>May</v>
      </c>
    </row>
    <row r="997" spans="1:9" x14ac:dyDescent="0.3">
      <c r="A997" s="3" t="s">
        <v>1031</v>
      </c>
      <c r="B997" s="3" t="s">
        <v>28</v>
      </c>
      <c r="C997" s="3" t="s">
        <v>9</v>
      </c>
      <c r="D997" s="3">
        <v>5</v>
      </c>
      <c r="E997" s="4">
        <v>4711.82</v>
      </c>
      <c r="F997" s="4">
        <f t="shared" si="15"/>
        <v>23559.1</v>
      </c>
      <c r="G997" s="3" t="s">
        <v>46</v>
      </c>
      <c r="H997" s="5">
        <v>46164</v>
      </c>
      <c r="I997" s="3" t="str">
        <f>TEXT(Table1[[#This Row],[Date]],"mmm")</f>
        <v>May</v>
      </c>
    </row>
    <row r="998" spans="1:9" x14ac:dyDescent="0.3">
      <c r="A998" s="3" t="s">
        <v>1032</v>
      </c>
      <c r="B998" s="3" t="s">
        <v>24</v>
      </c>
      <c r="C998" s="3" t="s">
        <v>25</v>
      </c>
      <c r="D998" s="3">
        <v>5</v>
      </c>
      <c r="E998" s="4">
        <v>861.96</v>
      </c>
      <c r="F998" s="4">
        <f t="shared" si="15"/>
        <v>4309.8</v>
      </c>
      <c r="G998" s="3" t="s">
        <v>14</v>
      </c>
      <c r="H998" s="5">
        <v>46143</v>
      </c>
      <c r="I998" s="3" t="str">
        <f>TEXT(Table1[[#This Row],[Date]],"mmm")</f>
        <v>May</v>
      </c>
    </row>
    <row r="999" spans="1:9" x14ac:dyDescent="0.3">
      <c r="A999" s="3" t="s">
        <v>1033</v>
      </c>
      <c r="B999" s="3" t="s">
        <v>8</v>
      </c>
      <c r="C999" s="3" t="s">
        <v>9</v>
      </c>
      <c r="D999" s="3">
        <v>2</v>
      </c>
      <c r="E999" s="4">
        <v>1751.69</v>
      </c>
      <c r="F999" s="4">
        <f t="shared" si="15"/>
        <v>3503.38</v>
      </c>
      <c r="G999" s="3" t="s">
        <v>29</v>
      </c>
      <c r="H999" s="5">
        <v>46173</v>
      </c>
      <c r="I999" s="3" t="str">
        <f>TEXT(Table1[[#This Row],[Date]],"mmm")</f>
        <v>May</v>
      </c>
    </row>
    <row r="1000" spans="1:9" x14ac:dyDescent="0.3">
      <c r="A1000" s="3" t="s">
        <v>1034</v>
      </c>
      <c r="B1000" s="3" t="s">
        <v>21</v>
      </c>
      <c r="C1000" s="3" t="s">
        <v>13</v>
      </c>
      <c r="D1000" s="3">
        <v>3</v>
      </c>
      <c r="E1000" s="4">
        <v>25949.74</v>
      </c>
      <c r="F1000" s="4">
        <f t="shared" si="15"/>
        <v>77849.22</v>
      </c>
      <c r="G1000" s="3" t="s">
        <v>14</v>
      </c>
      <c r="H1000" s="5">
        <v>46153</v>
      </c>
      <c r="I1000" s="3" t="str">
        <f>TEXT(Table1[[#This Row],[Date]],"mmm")</f>
        <v>May</v>
      </c>
    </row>
    <row r="1001" spans="1:9" x14ac:dyDescent="0.3">
      <c r="A1001" s="3" t="s">
        <v>1035</v>
      </c>
      <c r="B1001" s="3" t="s">
        <v>31</v>
      </c>
      <c r="C1001" s="3" t="s">
        <v>13</v>
      </c>
      <c r="D1001" s="3">
        <v>4</v>
      </c>
      <c r="E1001" s="4">
        <v>17509.919999999998</v>
      </c>
      <c r="F1001" s="4">
        <f t="shared" si="15"/>
        <v>70039.679999999993</v>
      </c>
      <c r="G1001" s="3" t="s">
        <v>46</v>
      </c>
      <c r="H1001" s="5">
        <v>46192</v>
      </c>
      <c r="I1001" s="3" t="str">
        <f>TEXT(Table1[[#This Row],[Date]],"mmm")</f>
        <v>Jun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4F7A-2CCC-4804-A1BD-4D4F68FE66DF}">
  <dimension ref="A3:O98"/>
  <sheetViews>
    <sheetView topLeftCell="D43" workbookViewId="0">
      <selection activeCell="N51" sqref="N51"/>
    </sheetView>
  </sheetViews>
  <sheetFormatPr defaultRowHeight="14.4" x14ac:dyDescent="0.3"/>
  <cols>
    <col min="1" max="1" width="15.109375" bestFit="1" customWidth="1"/>
    <col min="2" max="2" width="14.88671875" bestFit="1" customWidth="1"/>
    <col min="11" max="12" width="14.88671875" bestFit="1" customWidth="1"/>
    <col min="13" max="13" width="16.44140625" bestFit="1" customWidth="1"/>
    <col min="14" max="14" width="12.5546875" bestFit="1" customWidth="1"/>
    <col min="15" max="15" width="14.88671875" bestFit="1" customWidth="1"/>
  </cols>
  <sheetData>
    <row r="3" spans="1:2" x14ac:dyDescent="0.3">
      <c r="A3" s="6" t="s">
        <v>1038</v>
      </c>
      <c r="B3" t="s">
        <v>1039</v>
      </c>
    </row>
    <row r="4" spans="1:2" x14ac:dyDescent="0.3">
      <c r="A4" s="3" t="s">
        <v>13</v>
      </c>
      <c r="B4" s="2">
        <v>21606517.720000014</v>
      </c>
    </row>
    <row r="5" spans="1:2" x14ac:dyDescent="0.3">
      <c r="A5" s="3" t="s">
        <v>39</v>
      </c>
      <c r="B5" s="2">
        <v>3141481.7200000025</v>
      </c>
    </row>
    <row r="6" spans="1:2" x14ac:dyDescent="0.3">
      <c r="A6" s="3" t="s">
        <v>9</v>
      </c>
      <c r="B6" s="2">
        <v>1630446.5000000002</v>
      </c>
    </row>
    <row r="7" spans="1:2" x14ac:dyDescent="0.3">
      <c r="A7" s="3" t="s">
        <v>25</v>
      </c>
      <c r="B7" s="2">
        <v>1152368.3800000001</v>
      </c>
    </row>
    <row r="8" spans="1:2" x14ac:dyDescent="0.3">
      <c r="A8" s="3" t="s">
        <v>17</v>
      </c>
      <c r="B8" s="2">
        <v>89836.77</v>
      </c>
    </row>
    <row r="18" spans="1:2" x14ac:dyDescent="0.3">
      <c r="A18" s="6" t="s">
        <v>1038</v>
      </c>
      <c r="B18" t="s">
        <v>1039</v>
      </c>
    </row>
    <row r="19" spans="1:2" x14ac:dyDescent="0.3">
      <c r="A19" s="3" t="s">
        <v>1040</v>
      </c>
      <c r="B19" s="2">
        <v>5205216.1399999987</v>
      </c>
    </row>
    <row r="20" spans="1:2" x14ac:dyDescent="0.3">
      <c r="A20" s="3" t="s">
        <v>1041</v>
      </c>
      <c r="B20" s="2">
        <v>4418598.6399999997</v>
      </c>
    </row>
    <row r="21" spans="1:2" x14ac:dyDescent="0.3">
      <c r="A21" s="3" t="s">
        <v>1042</v>
      </c>
      <c r="B21" s="2">
        <v>4668486.2499999981</v>
      </c>
    </row>
    <row r="22" spans="1:2" x14ac:dyDescent="0.3">
      <c r="A22" s="3" t="s">
        <v>1043</v>
      </c>
      <c r="B22" s="2">
        <v>4655427.1899999976</v>
      </c>
    </row>
    <row r="23" spans="1:2" x14ac:dyDescent="0.3">
      <c r="A23" s="3" t="s">
        <v>1044</v>
      </c>
      <c r="B23" s="2">
        <v>4860089.3500000006</v>
      </c>
    </row>
    <row r="24" spans="1:2" x14ac:dyDescent="0.3">
      <c r="A24" s="3" t="s">
        <v>1045</v>
      </c>
      <c r="B24" s="2">
        <v>3812833.5200000014</v>
      </c>
    </row>
    <row r="30" spans="1:2" x14ac:dyDescent="0.3">
      <c r="A30" s="6" t="s">
        <v>1038</v>
      </c>
      <c r="B30" t="s">
        <v>1039</v>
      </c>
    </row>
    <row r="31" spans="1:2" x14ac:dyDescent="0.3">
      <c r="A31" s="3" t="s">
        <v>32</v>
      </c>
      <c r="B31" s="2">
        <v>3262077.4299999978</v>
      </c>
    </row>
    <row r="32" spans="1:2" x14ac:dyDescent="0.3">
      <c r="A32" s="3" t="s">
        <v>18</v>
      </c>
      <c r="B32" s="2">
        <v>3213056.4600000014</v>
      </c>
    </row>
    <row r="33" spans="1:2" x14ac:dyDescent="0.3">
      <c r="A33" s="3" t="s">
        <v>22</v>
      </c>
      <c r="B33" s="2">
        <v>3161091.5</v>
      </c>
    </row>
    <row r="34" spans="1:2" x14ac:dyDescent="0.3">
      <c r="A34" s="3" t="s">
        <v>29</v>
      </c>
      <c r="B34" s="2">
        <v>3148292.69</v>
      </c>
    </row>
    <row r="35" spans="1:2" x14ac:dyDescent="0.3">
      <c r="A35" s="3" t="s">
        <v>50</v>
      </c>
      <c r="B35" s="2">
        <v>2971339.4599999995</v>
      </c>
    </row>
    <row r="36" spans="1:2" x14ac:dyDescent="0.3">
      <c r="A36" s="3" t="s">
        <v>14</v>
      </c>
      <c r="B36" s="2">
        <v>2798244.0300000003</v>
      </c>
    </row>
    <row r="37" spans="1:2" x14ac:dyDescent="0.3">
      <c r="A37" s="3" t="s">
        <v>26</v>
      </c>
      <c r="B37" s="2">
        <v>2660336.4200000004</v>
      </c>
    </row>
    <row r="38" spans="1:2" x14ac:dyDescent="0.3">
      <c r="A38" s="3" t="s">
        <v>48</v>
      </c>
      <c r="B38" s="2">
        <v>2359385.3599999994</v>
      </c>
    </row>
    <row r="39" spans="1:2" x14ac:dyDescent="0.3">
      <c r="A39" s="3" t="s">
        <v>46</v>
      </c>
      <c r="B39" s="2">
        <v>2127277.96</v>
      </c>
    </row>
    <row r="40" spans="1:2" x14ac:dyDescent="0.3">
      <c r="A40" s="3" t="s">
        <v>10</v>
      </c>
      <c r="B40" s="2">
        <v>1919549.7800000005</v>
      </c>
    </row>
    <row r="50" spans="1:14" x14ac:dyDescent="0.3">
      <c r="A50" s="6" t="s">
        <v>1038</v>
      </c>
      <c r="B50" t="s">
        <v>1039</v>
      </c>
      <c r="M50" s="8">
        <f>GETPIVOTDATA("Revenue",$M$54)/1000000</f>
        <v>27.62065109000001</v>
      </c>
      <c r="N50" t="str">
        <f>TEXT(M50,"0.00")&amp;"M"</f>
        <v>27.62M</v>
      </c>
    </row>
    <row r="51" spans="1:14" x14ac:dyDescent="0.3">
      <c r="A51" s="3" t="s">
        <v>91</v>
      </c>
      <c r="B51" s="2">
        <v>11411335.180000002</v>
      </c>
    </row>
    <row r="52" spans="1:14" x14ac:dyDescent="0.3">
      <c r="A52" s="3" t="s">
        <v>21</v>
      </c>
      <c r="B52" s="2">
        <v>5933914.0899999999</v>
      </c>
    </row>
    <row r="53" spans="1:14" x14ac:dyDescent="0.3">
      <c r="A53" s="3" t="s">
        <v>31</v>
      </c>
      <c r="B53" s="2">
        <v>3535262.7899999996</v>
      </c>
    </row>
    <row r="54" spans="1:14" x14ac:dyDescent="0.3">
      <c r="A54" s="3" t="s">
        <v>38</v>
      </c>
      <c r="B54" s="2">
        <v>1533421.5299999998</v>
      </c>
      <c r="M54" t="s">
        <v>1039</v>
      </c>
    </row>
    <row r="55" spans="1:14" x14ac:dyDescent="0.3">
      <c r="A55" s="3" t="s">
        <v>28</v>
      </c>
      <c r="B55" s="2">
        <v>1203724.8299999998</v>
      </c>
      <c r="M55" s="2">
        <v>27620651.090000011</v>
      </c>
    </row>
    <row r="56" spans="1:14" x14ac:dyDescent="0.3">
      <c r="A56" s="3" t="s">
        <v>80</v>
      </c>
      <c r="B56" s="2">
        <v>812719.87000000011</v>
      </c>
    </row>
    <row r="57" spans="1:14" x14ac:dyDescent="0.3">
      <c r="A57" s="3" t="s">
        <v>44</v>
      </c>
      <c r="B57" s="2">
        <v>795340.32000000007</v>
      </c>
    </row>
    <row r="58" spans="1:14" x14ac:dyDescent="0.3">
      <c r="A58" s="3" t="s">
        <v>55</v>
      </c>
      <c r="B58" s="2">
        <v>515253.55</v>
      </c>
      <c r="M58" t="s">
        <v>1047</v>
      </c>
    </row>
    <row r="59" spans="1:14" x14ac:dyDescent="0.3">
      <c r="A59" s="3" t="s">
        <v>62</v>
      </c>
      <c r="B59" s="2">
        <v>428059.92</v>
      </c>
      <c r="M59">
        <v>1000</v>
      </c>
    </row>
    <row r="60" spans="1:14" x14ac:dyDescent="0.3">
      <c r="A60" s="3" t="s">
        <v>8</v>
      </c>
      <c r="B60" s="2">
        <v>426721.6700000001</v>
      </c>
    </row>
    <row r="61" spans="1:14" x14ac:dyDescent="0.3">
      <c r="A61" s="3" t="s">
        <v>72</v>
      </c>
      <c r="B61" s="2">
        <v>396049.48999999993</v>
      </c>
    </row>
    <row r="62" spans="1:14" x14ac:dyDescent="0.3">
      <c r="A62" s="3" t="s">
        <v>12</v>
      </c>
      <c r="B62" s="2">
        <v>329956.17</v>
      </c>
    </row>
    <row r="63" spans="1:14" x14ac:dyDescent="0.3">
      <c r="A63" s="3" t="s">
        <v>24</v>
      </c>
      <c r="B63" s="2">
        <v>209054.90999999992</v>
      </c>
    </row>
    <row r="64" spans="1:14" x14ac:dyDescent="0.3">
      <c r="A64" s="3" t="s">
        <v>16</v>
      </c>
      <c r="B64" s="2">
        <v>89836.77</v>
      </c>
    </row>
    <row r="68" spans="1:12" x14ac:dyDescent="0.3">
      <c r="K68" t="s">
        <v>1046</v>
      </c>
    </row>
    <row r="69" spans="1:12" x14ac:dyDescent="0.3">
      <c r="K69">
        <v>3035</v>
      </c>
    </row>
    <row r="70" spans="1:12" x14ac:dyDescent="0.3">
      <c r="A70" s="6" t="s">
        <v>1038</v>
      </c>
      <c r="B70" t="s">
        <v>1046</v>
      </c>
    </row>
    <row r="71" spans="1:12" x14ac:dyDescent="0.3">
      <c r="A71" s="3" t="s">
        <v>13</v>
      </c>
      <c r="B71">
        <v>1017</v>
      </c>
    </row>
    <row r="72" spans="1:12" x14ac:dyDescent="0.3">
      <c r="A72" s="3" t="s">
        <v>25</v>
      </c>
      <c r="B72">
        <v>679</v>
      </c>
    </row>
    <row r="73" spans="1:12" x14ac:dyDescent="0.3">
      <c r="A73" s="3" t="s">
        <v>39</v>
      </c>
      <c r="B73">
        <v>658</v>
      </c>
    </row>
    <row r="74" spans="1:12" x14ac:dyDescent="0.3">
      <c r="A74" s="3" t="s">
        <v>9</v>
      </c>
      <c r="B74">
        <v>482</v>
      </c>
    </row>
    <row r="75" spans="1:12" x14ac:dyDescent="0.3">
      <c r="A75" s="3" t="s">
        <v>17</v>
      </c>
      <c r="B75">
        <v>199</v>
      </c>
    </row>
    <row r="77" spans="1:12" x14ac:dyDescent="0.3">
      <c r="K77" s="6" t="s">
        <v>1038</v>
      </c>
      <c r="L77" t="s">
        <v>1039</v>
      </c>
    </row>
    <row r="78" spans="1:12" x14ac:dyDescent="0.3">
      <c r="K78" s="3" t="s">
        <v>13</v>
      </c>
      <c r="L78" s="2">
        <v>21606517.720000014</v>
      </c>
    </row>
    <row r="79" spans="1:12" x14ac:dyDescent="0.3">
      <c r="K79" s="3" t="s">
        <v>39</v>
      </c>
      <c r="L79" s="2">
        <v>3141481.7200000025</v>
      </c>
    </row>
    <row r="80" spans="1:12" x14ac:dyDescent="0.3">
      <c r="K80" s="3" t="s">
        <v>9</v>
      </c>
      <c r="L80" s="2">
        <v>1630446.5000000002</v>
      </c>
    </row>
    <row r="81" spans="1:15" x14ac:dyDescent="0.3">
      <c r="K81" s="3" t="s">
        <v>25</v>
      </c>
      <c r="L81" s="2">
        <v>1152368.3800000001</v>
      </c>
    </row>
    <row r="82" spans="1:15" x14ac:dyDescent="0.3">
      <c r="K82" s="3" t="s">
        <v>17</v>
      </c>
      <c r="L82" s="2">
        <v>89836.77</v>
      </c>
    </row>
    <row r="85" spans="1:15" x14ac:dyDescent="0.3">
      <c r="A85" s="6" t="s">
        <v>1038</v>
      </c>
      <c r="B85" t="s">
        <v>1047</v>
      </c>
    </row>
    <row r="86" spans="1:15" x14ac:dyDescent="0.3">
      <c r="A86" s="3" t="s">
        <v>18</v>
      </c>
      <c r="B86">
        <v>126</v>
      </c>
      <c r="K86" s="6" t="s">
        <v>1038</v>
      </c>
      <c r="L86" t="s">
        <v>1048</v>
      </c>
    </row>
    <row r="87" spans="1:15" x14ac:dyDescent="0.3">
      <c r="A87" s="3" t="s">
        <v>22</v>
      </c>
      <c r="B87">
        <v>105</v>
      </c>
      <c r="K87" s="3" t="s">
        <v>9</v>
      </c>
      <c r="L87">
        <v>161</v>
      </c>
      <c r="N87" s="6" t="s">
        <v>1038</v>
      </c>
      <c r="O87" t="s">
        <v>1039</v>
      </c>
    </row>
    <row r="88" spans="1:15" x14ac:dyDescent="0.3">
      <c r="A88" s="3" t="s">
        <v>14</v>
      </c>
      <c r="B88">
        <v>105</v>
      </c>
      <c r="K88" s="3" t="s">
        <v>17</v>
      </c>
      <c r="L88">
        <v>66</v>
      </c>
      <c r="N88" s="3" t="s">
        <v>32</v>
      </c>
      <c r="O88" s="2">
        <v>3262077.4299999978</v>
      </c>
    </row>
    <row r="89" spans="1:15" x14ac:dyDescent="0.3">
      <c r="A89" s="3" t="s">
        <v>32</v>
      </c>
      <c r="B89">
        <v>102</v>
      </c>
      <c r="K89" s="3" t="s">
        <v>13</v>
      </c>
      <c r="L89">
        <v>328</v>
      </c>
      <c r="N89" s="3" t="s">
        <v>18</v>
      </c>
      <c r="O89" s="2">
        <v>3213056.4600000014</v>
      </c>
    </row>
    <row r="90" spans="1:15" x14ac:dyDescent="0.3">
      <c r="A90" s="3" t="s">
        <v>46</v>
      </c>
      <c r="B90">
        <v>99</v>
      </c>
      <c r="K90" s="3" t="s">
        <v>25</v>
      </c>
      <c r="L90">
        <v>226</v>
      </c>
      <c r="N90" s="3" t="s">
        <v>22</v>
      </c>
      <c r="O90" s="2">
        <v>3161091.5</v>
      </c>
    </row>
    <row r="91" spans="1:15" x14ac:dyDescent="0.3">
      <c r="A91" s="3" t="s">
        <v>48</v>
      </c>
      <c r="B91">
        <v>98</v>
      </c>
      <c r="K91" s="3" t="s">
        <v>39</v>
      </c>
      <c r="L91">
        <v>219</v>
      </c>
      <c r="N91" s="3" t="s">
        <v>29</v>
      </c>
      <c r="O91" s="2">
        <v>3148292.69</v>
      </c>
    </row>
    <row r="92" spans="1:15" x14ac:dyDescent="0.3">
      <c r="A92" s="3" t="s">
        <v>10</v>
      </c>
      <c r="B92">
        <v>96</v>
      </c>
      <c r="K92" s="3" t="s">
        <v>1049</v>
      </c>
      <c r="L92">
        <v>1000</v>
      </c>
      <c r="N92" s="3" t="s">
        <v>50</v>
      </c>
      <c r="O92" s="2">
        <v>2971339.4599999995</v>
      </c>
    </row>
    <row r="93" spans="1:15" x14ac:dyDescent="0.3">
      <c r="A93" s="3" t="s">
        <v>26</v>
      </c>
      <c r="B93">
        <v>94</v>
      </c>
      <c r="N93" s="3" t="s">
        <v>14</v>
      </c>
      <c r="O93" s="2">
        <v>2798244.0300000003</v>
      </c>
    </row>
    <row r="94" spans="1:15" x14ac:dyDescent="0.3">
      <c r="A94" s="3" t="s">
        <v>29</v>
      </c>
      <c r="B94">
        <v>88</v>
      </c>
      <c r="N94" s="3" t="s">
        <v>26</v>
      </c>
      <c r="O94" s="2">
        <v>2660336.4200000004</v>
      </c>
    </row>
    <row r="95" spans="1:15" x14ac:dyDescent="0.3">
      <c r="A95" s="3" t="s">
        <v>50</v>
      </c>
      <c r="B95">
        <v>87</v>
      </c>
      <c r="N95" s="3" t="s">
        <v>48</v>
      </c>
      <c r="O95" s="2">
        <v>2359385.3599999994</v>
      </c>
    </row>
    <row r="96" spans="1:15" x14ac:dyDescent="0.3">
      <c r="N96" s="3" t="s">
        <v>46</v>
      </c>
      <c r="O96" s="2">
        <v>2127277.96</v>
      </c>
    </row>
    <row r="97" spans="14:15" x14ac:dyDescent="0.3">
      <c r="N97" s="3" t="s">
        <v>10</v>
      </c>
      <c r="O97" s="2">
        <v>1919549.7800000005</v>
      </c>
    </row>
    <row r="98" spans="14:15" x14ac:dyDescent="0.3">
      <c r="N98" s="3" t="s">
        <v>1049</v>
      </c>
      <c r="O98" s="2">
        <v>27620651.090000004</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C581-0A58-47D3-92BB-50C1B8E46899}">
  <dimension ref="A1:AI42"/>
  <sheetViews>
    <sheetView tabSelected="1" topLeftCell="A2" zoomScale="62" zoomScaleNormal="62" workbookViewId="0">
      <selection activeCell="AA45" sqref="AA45"/>
    </sheetView>
  </sheetViews>
  <sheetFormatPr defaultRowHeight="14.4" x14ac:dyDescent="0.3"/>
  <cols>
    <col min="30" max="30" width="12.5546875" bestFit="1" customWidth="1"/>
  </cols>
  <sheetData>
    <row r="1" spans="1:28" x14ac:dyDescent="0.3">
      <c r="A1" s="7"/>
      <c r="B1" s="7"/>
      <c r="C1" s="7"/>
      <c r="D1" s="7"/>
      <c r="E1" s="7"/>
      <c r="F1" s="7"/>
      <c r="G1" s="7"/>
      <c r="H1" s="7"/>
      <c r="I1" s="7"/>
      <c r="J1" s="7"/>
      <c r="K1" s="7"/>
      <c r="L1" s="7"/>
      <c r="M1" s="7"/>
      <c r="N1" s="7"/>
      <c r="O1" s="7"/>
      <c r="P1" s="7"/>
      <c r="Q1" s="7"/>
      <c r="R1" s="7"/>
      <c r="S1" s="7"/>
      <c r="T1" s="7"/>
      <c r="U1" s="7"/>
      <c r="V1" s="7"/>
      <c r="W1" s="7"/>
      <c r="X1" s="7"/>
      <c r="Y1" s="7"/>
      <c r="Z1" s="7"/>
      <c r="AA1" s="7"/>
      <c r="AB1" s="7"/>
    </row>
    <row r="2" spans="1:28" x14ac:dyDescent="0.3">
      <c r="A2" s="7"/>
      <c r="B2" s="7"/>
      <c r="C2" s="7"/>
      <c r="D2" s="7"/>
      <c r="E2" s="7"/>
      <c r="F2" s="7"/>
      <c r="G2" s="7"/>
      <c r="H2" s="7"/>
      <c r="I2" s="7"/>
      <c r="J2" s="7"/>
      <c r="K2" s="7"/>
      <c r="L2" s="7"/>
      <c r="M2" s="7"/>
      <c r="N2" s="7"/>
      <c r="O2" s="7"/>
      <c r="P2" s="7"/>
      <c r="Q2" s="7"/>
      <c r="R2" s="7"/>
      <c r="S2" s="7"/>
      <c r="T2" s="7"/>
      <c r="U2" s="7"/>
      <c r="V2" s="7"/>
      <c r="W2" s="7"/>
      <c r="X2" s="7"/>
      <c r="Y2" s="7"/>
      <c r="Z2" s="7"/>
      <c r="AA2" s="7"/>
      <c r="AB2" s="7"/>
    </row>
    <row r="3" spans="1:28" x14ac:dyDescent="0.3">
      <c r="A3" s="7"/>
      <c r="B3" s="7"/>
      <c r="C3" s="7"/>
      <c r="D3" s="7"/>
      <c r="E3" s="7"/>
      <c r="F3" s="7"/>
      <c r="G3" s="7"/>
      <c r="H3" s="7"/>
      <c r="I3" s="7"/>
      <c r="J3" s="7"/>
      <c r="K3" s="7"/>
      <c r="L3" s="7"/>
      <c r="M3" s="7"/>
      <c r="N3" s="7"/>
      <c r="O3" s="7"/>
      <c r="P3" s="7"/>
      <c r="Q3" s="7"/>
      <c r="R3" s="7"/>
      <c r="S3" s="7"/>
      <c r="T3" s="7"/>
      <c r="U3" s="7"/>
      <c r="V3" s="7"/>
      <c r="W3" s="7"/>
      <c r="X3" s="7"/>
      <c r="Y3" s="7"/>
      <c r="Z3" s="7"/>
      <c r="AA3" s="7"/>
      <c r="AB3" s="7"/>
    </row>
    <row r="4" spans="1:28" x14ac:dyDescent="0.3">
      <c r="A4" s="7"/>
      <c r="B4" s="7"/>
      <c r="C4" s="7"/>
      <c r="D4" s="7"/>
      <c r="E4" s="7"/>
      <c r="F4" s="7"/>
      <c r="G4" s="7"/>
      <c r="H4" s="7"/>
      <c r="I4" s="7"/>
      <c r="J4" s="7"/>
      <c r="K4" s="7"/>
      <c r="L4" s="7"/>
      <c r="M4" s="7"/>
      <c r="N4" s="7"/>
      <c r="O4" s="7"/>
      <c r="P4" s="7"/>
      <c r="Q4" s="7"/>
      <c r="R4" s="7"/>
      <c r="S4" s="7"/>
      <c r="T4" s="7"/>
      <c r="U4" s="7"/>
      <c r="V4" s="7"/>
      <c r="W4" s="7"/>
      <c r="X4" s="7"/>
      <c r="Y4" s="7"/>
      <c r="Z4" s="7"/>
      <c r="AA4" s="7"/>
      <c r="AB4" s="7"/>
    </row>
    <row r="5" spans="1:28" x14ac:dyDescent="0.3">
      <c r="A5" s="7"/>
      <c r="B5" s="7"/>
      <c r="C5" s="7"/>
      <c r="D5" s="7"/>
      <c r="E5" s="7"/>
      <c r="F5" s="7"/>
      <c r="G5" s="7"/>
      <c r="H5" s="7"/>
      <c r="I5" s="7"/>
      <c r="J5" s="7"/>
      <c r="K5" s="7"/>
      <c r="L5" s="7"/>
      <c r="M5" s="7"/>
      <c r="N5" s="7"/>
      <c r="O5" s="7"/>
      <c r="P5" s="7"/>
      <c r="Q5" s="7"/>
      <c r="R5" s="7"/>
      <c r="S5" s="7"/>
      <c r="T5" s="7"/>
      <c r="U5" s="7"/>
      <c r="V5" s="7"/>
      <c r="W5" s="7"/>
      <c r="X5" s="7"/>
      <c r="Y5" s="7"/>
      <c r="Z5" s="7"/>
      <c r="AA5" s="7"/>
      <c r="AB5" s="7"/>
    </row>
    <row r="6" spans="1:28" x14ac:dyDescent="0.3">
      <c r="A6" s="7"/>
      <c r="B6" s="7"/>
      <c r="C6" s="7"/>
      <c r="D6" s="7"/>
      <c r="E6" s="7"/>
      <c r="F6" s="7"/>
      <c r="G6" s="7"/>
      <c r="H6" s="7"/>
      <c r="I6" s="7"/>
      <c r="J6" s="7"/>
      <c r="K6" s="7"/>
      <c r="L6" s="7"/>
      <c r="M6" s="7"/>
      <c r="N6" s="7"/>
      <c r="O6" s="7"/>
      <c r="P6" s="7"/>
      <c r="Q6" s="7"/>
      <c r="R6" s="7"/>
      <c r="S6" s="7"/>
      <c r="T6" s="7"/>
      <c r="U6" s="7"/>
      <c r="V6" s="7"/>
      <c r="W6" s="7"/>
      <c r="X6" s="7"/>
      <c r="Y6" s="7"/>
      <c r="Z6" s="7"/>
      <c r="AA6" s="7"/>
      <c r="AB6" s="7"/>
    </row>
    <row r="7" spans="1:28" x14ac:dyDescent="0.3">
      <c r="A7" s="7"/>
      <c r="B7" s="7"/>
      <c r="C7" s="7"/>
      <c r="D7" s="7"/>
      <c r="E7" s="7"/>
      <c r="F7" s="7"/>
      <c r="G7" s="7"/>
      <c r="H7" s="7"/>
      <c r="I7" s="7"/>
      <c r="J7" s="7"/>
      <c r="K7" s="7"/>
      <c r="L7" s="7"/>
      <c r="M7" s="7"/>
      <c r="N7" s="7"/>
      <c r="O7" s="7"/>
      <c r="P7" s="7"/>
      <c r="Q7" s="7"/>
      <c r="R7" s="7"/>
      <c r="S7" s="7"/>
      <c r="T7" s="7"/>
      <c r="U7" s="7"/>
      <c r="V7" s="7"/>
      <c r="W7" s="7"/>
      <c r="X7" s="7"/>
      <c r="Y7" s="7"/>
      <c r="Z7" s="7"/>
      <c r="AA7" s="7"/>
      <c r="AB7" s="7"/>
    </row>
    <row r="8" spans="1:28" x14ac:dyDescent="0.3">
      <c r="A8" s="7"/>
      <c r="B8" s="7"/>
      <c r="C8" s="7"/>
      <c r="D8" s="7"/>
      <c r="E8" s="7"/>
      <c r="F8" s="7"/>
      <c r="G8" s="7"/>
      <c r="H8" s="7"/>
      <c r="I8" s="7"/>
      <c r="J8" s="7"/>
      <c r="K8" s="7"/>
      <c r="L8" s="7"/>
      <c r="M8" s="7"/>
      <c r="N8" s="7"/>
      <c r="O8" s="7"/>
      <c r="P8" s="7"/>
      <c r="Q8" s="7"/>
      <c r="R8" s="7"/>
      <c r="S8" s="7"/>
      <c r="T8" s="7"/>
      <c r="U8" s="7"/>
      <c r="V8" s="7"/>
      <c r="W8" s="7"/>
      <c r="X8" s="7"/>
      <c r="Y8" s="7"/>
      <c r="Z8" s="7"/>
      <c r="AA8" s="7"/>
      <c r="AB8" s="7"/>
    </row>
    <row r="9" spans="1:28" x14ac:dyDescent="0.3">
      <c r="A9" s="7"/>
      <c r="B9" s="7"/>
      <c r="C9" s="7"/>
      <c r="D9" s="7"/>
      <c r="E9" s="7"/>
      <c r="F9" s="7"/>
      <c r="G9" s="7"/>
      <c r="H9" s="7"/>
      <c r="I9" s="7"/>
      <c r="J9" s="7"/>
      <c r="K9" s="7"/>
      <c r="L9" s="7"/>
      <c r="M9" s="7"/>
      <c r="N9" s="7"/>
      <c r="O9" s="7"/>
      <c r="P9" s="7"/>
      <c r="Q9" s="7"/>
      <c r="R9" s="7"/>
      <c r="S9" s="7"/>
      <c r="T9" s="7"/>
      <c r="U9" s="7"/>
      <c r="V9" s="7"/>
      <c r="W9" s="7"/>
      <c r="X9" s="7"/>
      <c r="Y9" s="7"/>
      <c r="Z9" s="7"/>
      <c r="AA9" s="7"/>
      <c r="AB9" s="7"/>
    </row>
    <row r="10" spans="1:2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spans="1:2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spans="1:2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spans="1:2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spans="1:2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35"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spans="1:35"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spans="1:35"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spans="1:35"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spans="1:35"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spans="1:35"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35"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35"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35"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I25">
        <v>5</v>
      </c>
    </row>
    <row r="26" spans="1:35"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35"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35"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35"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35"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35"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1:35"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28"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28"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28"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28"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28"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28"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28"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28"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28"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28"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ecommerce_sales_1000_records</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Roshida Ramachandran</dc:creator>
  <cp:lastModifiedBy>Roshida Ramachandran</cp:lastModifiedBy>
  <dcterms:created xsi:type="dcterms:W3CDTF">2026-06-28T19:16:13Z</dcterms:created>
  <dcterms:modified xsi:type="dcterms:W3CDTF">2026-07-03T14:57:49Z</dcterms:modified>
</cp:coreProperties>
</file>